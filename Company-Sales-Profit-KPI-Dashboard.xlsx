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ovin\OneDrive\Desktop\Data Analyst Learning\EXCEL\"/>
    </mc:Choice>
  </mc:AlternateContent>
  <xr:revisionPtr revIDLastSave="0" documentId="13_ncr:1_{32C5BB28-9140-4E2D-B77B-E57894251BCA}" xr6:coauthVersionLast="47" xr6:coauthVersionMax="47" xr10:uidLastSave="{00000000-0000-0000-0000-000000000000}"/>
  <bookViews>
    <workbookView xWindow="-108" yWindow="-108" windowWidth="23256" windowHeight="12456" xr2:uid="{0725B7C6-14F0-4CB2-85E6-3A894F94E258}"/>
  </bookViews>
  <sheets>
    <sheet name="Dashboard" sheetId="8" r:id="rId1"/>
    <sheet name="KPI_Pivot" sheetId="2" r:id="rId2"/>
    <sheet name="Salesperson_Pivot" sheetId="3" r:id="rId3"/>
    <sheet name="Product_Profit_Pivot" sheetId="4" r:id="rId4"/>
    <sheet name="Trend_Pivot" sheetId="5" r:id="rId5"/>
    <sheet name="Sales_Data" sheetId="1" r:id="rId6"/>
  </sheets>
  <definedNames>
    <definedName name="Slicer_Customer_Type">#N/A</definedName>
    <definedName name="Slicer_Product">#N/A</definedName>
    <definedName name="Slicer_Region">#N/A</definedName>
    <definedName name="Slicer_Salesperson">#N/A</definedName>
  </definedNames>
  <calcPr calcId="191029"/>
  <pivotCaches>
    <pivotCache cacheId="136"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2" i="1" l="1"/>
  <c r="K62" i="1" s="1"/>
  <c r="L62" i="1" s="1"/>
  <c r="C62" i="1"/>
  <c r="C29" i="1"/>
  <c r="J29" i="1"/>
  <c r="C2" i="1"/>
  <c r="C3" i="1"/>
  <c r="C4" i="1"/>
  <c r="C5" i="1"/>
  <c r="C6" i="1"/>
  <c r="C7" i="1"/>
  <c r="C8" i="1"/>
  <c r="C9" i="1"/>
  <c r="C10" i="1"/>
  <c r="C11" i="1"/>
  <c r="C12" i="1"/>
  <c r="C13" i="1"/>
  <c r="C14" i="1"/>
  <c r="C15" i="1"/>
  <c r="C16" i="1"/>
  <c r="C17" i="1"/>
  <c r="C18" i="1"/>
  <c r="C19" i="1"/>
  <c r="C20" i="1"/>
  <c r="C21" i="1"/>
  <c r="C22" i="1"/>
  <c r="C23" i="1"/>
  <c r="C24" i="1"/>
  <c r="C25" i="1"/>
  <c r="C26" i="1"/>
  <c r="C27" i="1"/>
  <c r="C28"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J2" i="1"/>
  <c r="J3" i="1"/>
  <c r="K3" i="1" s="1"/>
  <c r="L3" i="1" s="1"/>
  <c r="J4" i="1"/>
  <c r="J5" i="1"/>
  <c r="J6" i="1"/>
  <c r="K6" i="1" s="1"/>
  <c r="J7" i="1"/>
  <c r="J8" i="1"/>
  <c r="K8" i="1" s="1"/>
  <c r="J9" i="1"/>
  <c r="K9" i="1" s="1"/>
  <c r="J10" i="1"/>
  <c r="J11" i="1"/>
  <c r="K11" i="1" s="1"/>
  <c r="L11" i="1" s="1"/>
  <c r="J12" i="1"/>
  <c r="J13" i="1"/>
  <c r="J14" i="1"/>
  <c r="K14" i="1" s="1"/>
  <c r="J15" i="1"/>
  <c r="J16" i="1"/>
  <c r="K16" i="1" s="1"/>
  <c r="J17" i="1"/>
  <c r="K17" i="1" s="1"/>
  <c r="J18" i="1"/>
  <c r="J19" i="1"/>
  <c r="K19" i="1" s="1"/>
  <c r="L19" i="1" s="1"/>
  <c r="J20" i="1"/>
  <c r="J21" i="1"/>
  <c r="J22" i="1"/>
  <c r="K22" i="1" s="1"/>
  <c r="J23" i="1"/>
  <c r="J24" i="1"/>
  <c r="K24" i="1" s="1"/>
  <c r="J25" i="1"/>
  <c r="K25" i="1" s="1"/>
  <c r="J26" i="1"/>
  <c r="J27" i="1"/>
  <c r="K27" i="1" s="1"/>
  <c r="L27" i="1" s="1"/>
  <c r="J28" i="1"/>
  <c r="J30" i="1"/>
  <c r="K30" i="1" s="1"/>
  <c r="J31" i="1"/>
  <c r="J32" i="1"/>
  <c r="K32" i="1" s="1"/>
  <c r="J33" i="1"/>
  <c r="K33" i="1" s="1"/>
  <c r="J34" i="1"/>
  <c r="J35" i="1"/>
  <c r="K35" i="1" s="1"/>
  <c r="L35" i="1" s="1"/>
  <c r="J36" i="1"/>
  <c r="J37" i="1"/>
  <c r="J38" i="1"/>
  <c r="K38" i="1" s="1"/>
  <c r="J39" i="1"/>
  <c r="J40" i="1"/>
  <c r="K40" i="1" s="1"/>
  <c r="J41" i="1"/>
  <c r="K41" i="1" s="1"/>
  <c r="J42" i="1"/>
  <c r="J43" i="1"/>
  <c r="K43" i="1" s="1"/>
  <c r="L43" i="1" s="1"/>
  <c r="J44" i="1"/>
  <c r="J45" i="1"/>
  <c r="J46" i="1"/>
  <c r="K46" i="1" s="1"/>
  <c r="J47" i="1"/>
  <c r="J48" i="1"/>
  <c r="K48" i="1" s="1"/>
  <c r="J49" i="1"/>
  <c r="K49" i="1" s="1"/>
  <c r="J50" i="1"/>
  <c r="J51" i="1"/>
  <c r="K51" i="1" s="1"/>
  <c r="L51" i="1" s="1"/>
  <c r="J52" i="1"/>
  <c r="J53" i="1"/>
  <c r="J54" i="1"/>
  <c r="K54" i="1" s="1"/>
  <c r="J55" i="1"/>
  <c r="J56" i="1"/>
  <c r="K56" i="1" s="1"/>
  <c r="J57" i="1"/>
  <c r="K57" i="1" s="1"/>
  <c r="J58" i="1"/>
  <c r="J59" i="1"/>
  <c r="K59" i="1" s="1"/>
  <c r="L59" i="1" s="1"/>
  <c r="J60" i="1"/>
  <c r="J61" i="1"/>
  <c r="U5" i="8"/>
  <c r="U3" i="8"/>
  <c r="U2" i="8"/>
  <c r="U4" i="8" l="1"/>
  <c r="L50" i="1"/>
  <c r="K47" i="1"/>
  <c r="L47" i="1" s="1"/>
  <c r="K23" i="1"/>
  <c r="L23" i="1" s="1"/>
  <c r="K61" i="1"/>
  <c r="L61" i="1" s="1"/>
  <c r="K53" i="1"/>
  <c r="L53" i="1" s="1"/>
  <c r="K45" i="1"/>
  <c r="L45" i="1" s="1"/>
  <c r="K37" i="1"/>
  <c r="L37" i="1" s="1"/>
  <c r="K29" i="1"/>
  <c r="L29" i="1" s="1"/>
  <c r="K21" i="1"/>
  <c r="L21" i="1" s="1"/>
  <c r="K13" i="1"/>
  <c r="L13" i="1" s="1"/>
  <c r="K5" i="1"/>
  <c r="L5" i="1" s="1"/>
  <c r="L57" i="1"/>
  <c r="L49" i="1"/>
  <c r="L41" i="1"/>
  <c r="L33" i="1"/>
  <c r="L25" i="1"/>
  <c r="L17" i="1"/>
  <c r="L9" i="1"/>
  <c r="K55" i="1"/>
  <c r="L55" i="1" s="1"/>
  <c r="K31" i="1"/>
  <c r="L31" i="1" s="1"/>
  <c r="K7" i="1"/>
  <c r="L7" i="1" s="1"/>
  <c r="K60" i="1"/>
  <c r="L60" i="1" s="1"/>
  <c r="K52" i="1"/>
  <c r="L52" i="1" s="1"/>
  <c r="K44" i="1"/>
  <c r="L44" i="1" s="1"/>
  <c r="K36" i="1"/>
  <c r="L36" i="1" s="1"/>
  <c r="K28" i="1"/>
  <c r="L28" i="1" s="1"/>
  <c r="K20" i="1"/>
  <c r="L20" i="1" s="1"/>
  <c r="K12" i="1"/>
  <c r="L12" i="1" s="1"/>
  <c r="K4" i="1"/>
  <c r="L4" i="1" s="1"/>
  <c r="L56" i="1"/>
  <c r="L48" i="1"/>
  <c r="L40" i="1"/>
  <c r="L32" i="1"/>
  <c r="L24" i="1"/>
  <c r="L16" i="1"/>
  <c r="L8" i="1"/>
  <c r="K39" i="1"/>
  <c r="L39" i="1" s="1"/>
  <c r="K15" i="1"/>
  <c r="L15" i="1" s="1"/>
  <c r="K58" i="1"/>
  <c r="L58" i="1" s="1"/>
  <c r="K50" i="1"/>
  <c r="K42" i="1"/>
  <c r="L42" i="1" s="1"/>
  <c r="K34" i="1"/>
  <c r="L34" i="1" s="1"/>
  <c r="K26" i="1"/>
  <c r="L26" i="1" s="1"/>
  <c r="K18" i="1"/>
  <c r="L18" i="1" s="1"/>
  <c r="K10" i="1"/>
  <c r="L10" i="1" s="1"/>
  <c r="K2" i="1"/>
  <c r="L2" i="1" s="1"/>
  <c r="L54" i="1"/>
  <c r="L46" i="1"/>
  <c r="L38" i="1"/>
  <c r="L30" i="1"/>
  <c r="L22" i="1"/>
  <c r="L14" i="1"/>
  <c r="L6" i="1"/>
</calcChain>
</file>

<file path=xl/sharedStrings.xml><?xml version="1.0" encoding="utf-8"?>
<sst xmlns="http://schemas.openxmlformats.org/spreadsheetml/2006/main" count="293" uniqueCount="63">
  <si>
    <t>Date</t>
  </si>
  <si>
    <t>Region</t>
  </si>
  <si>
    <t>Product</t>
  </si>
  <si>
    <t>Quantity</t>
  </si>
  <si>
    <t>Price</t>
  </si>
  <si>
    <t>North</t>
  </si>
  <si>
    <t>Laptop</t>
  </si>
  <si>
    <t>South</t>
  </si>
  <si>
    <t>Mouse</t>
  </si>
  <si>
    <t>East</t>
  </si>
  <si>
    <t>Keyboard</t>
  </si>
  <si>
    <t>West</t>
  </si>
  <si>
    <t>Monitor</t>
  </si>
  <si>
    <t>Sales</t>
  </si>
  <si>
    <t>Order_Id</t>
  </si>
  <si>
    <t>Cost</t>
  </si>
  <si>
    <t>Profit</t>
  </si>
  <si>
    <t>Salesperson</t>
  </si>
  <si>
    <t>Customer_Type</t>
  </si>
  <si>
    <t>Month</t>
  </si>
  <si>
    <t>James</t>
  </si>
  <si>
    <t>Steve</t>
  </si>
  <si>
    <t>Scott</t>
  </si>
  <si>
    <t>Ryan</t>
  </si>
  <si>
    <t>Den</t>
  </si>
  <si>
    <t>Donald</t>
  </si>
  <si>
    <t>David</t>
  </si>
  <si>
    <t>Corporate</t>
  </si>
  <si>
    <t>Laura</t>
  </si>
  <si>
    <t>Retail</t>
  </si>
  <si>
    <t>Robert</t>
  </si>
  <si>
    <t>Kevin</t>
  </si>
  <si>
    <t>Online</t>
  </si>
  <si>
    <t>Brian</t>
  </si>
  <si>
    <t>Nicole</t>
  </si>
  <si>
    <t>John</t>
  </si>
  <si>
    <t>Emma</t>
  </si>
  <si>
    <t>Olivia</t>
  </si>
  <si>
    <t>Michael</t>
  </si>
  <si>
    <t>Emily</t>
  </si>
  <si>
    <t>Daniel</t>
  </si>
  <si>
    <t>Jessica</t>
  </si>
  <si>
    <t>Christopher</t>
  </si>
  <si>
    <t>Amanda</t>
  </si>
  <si>
    <t>Matthew</t>
  </si>
  <si>
    <t>Sarah</t>
  </si>
  <si>
    <t>Andrew</t>
  </si>
  <si>
    <t>Jennifer</t>
  </si>
  <si>
    <t>Sum of Sales</t>
  </si>
  <si>
    <t>Sum of Profit</t>
  </si>
  <si>
    <t>Company_Sales_Data      ← raw data (table)
KPI_Pivot               ← totals for KPI cards
Sales_Region_Pivot      ← sales by region
Profit_Product_Pivot    ← profit by product
Salesperson_Pivot       ← salesperson performance
Trend_Pivot             ← monthly trend
Dashboard               ← ONLY visuals &amp; KPIs</t>
  </si>
  <si>
    <t>Total Sales</t>
  </si>
  <si>
    <t>Total Profit</t>
  </si>
  <si>
    <t>Total Quantity</t>
  </si>
  <si>
    <t>Total Orders</t>
  </si>
  <si>
    <t>Grand Total</t>
  </si>
  <si>
    <t>SalesPerson</t>
  </si>
  <si>
    <t>Jan</t>
  </si>
  <si>
    <t>Feb</t>
  </si>
  <si>
    <t>Mar</t>
  </si>
  <si>
    <t>2025</t>
  </si>
  <si>
    <t>Years (Date)</t>
  </si>
  <si>
    <t>Months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</si>
</sst>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00"/>
  </numFmts>
  <fonts count="6" x14ac:knownFonts="1">
    <font>
      <sz val="11"/>
      <color theme="1"/>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Narrow"/>
      <family val="2"/>
      <scheme val="minor"/>
    </font>
    <font>
      <sz val="12"/>
      <color theme="0"/>
      <name val="Aptos Narrow"/>
      <family val="2"/>
      <scheme val="minor"/>
    </font>
  </fonts>
  <fills count="4">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0">
    <xf numFmtId="0" fontId="0" fillId="0" borderId="0" xfId="0"/>
    <xf numFmtId="14"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0" fontId="1" fillId="0" borderId="0" xfId="0" applyNumberFormat="1" applyFont="1" applyAlignment="1">
      <alignment horizontal="center" vertical="center" wrapText="1"/>
    </xf>
    <xf numFmtId="0" fontId="0" fillId="0" borderId="0" xfId="0" applyNumberFormat="1"/>
    <xf numFmtId="1" fontId="0" fillId="0" borderId="0" xfId="0" applyNumberFormat="1"/>
    <xf numFmtId="1" fontId="0" fillId="0" borderId="0" xfId="0" applyNumberFormat="1" applyAlignment="1">
      <alignment vertical="center" wrapText="1"/>
    </xf>
    <xf numFmtId="0" fontId="0" fillId="0" borderId="0" xfId="0" applyAlignment="1">
      <alignment wrapText="1"/>
    </xf>
    <xf numFmtId="0" fontId="0" fillId="0" borderId="0" xfId="0" applyAlignment="1">
      <alignment horizontal="left" wrapText="1"/>
    </xf>
    <xf numFmtId="168" fontId="0" fillId="0" borderId="0" xfId="0" applyNumberFormat="1"/>
    <xf numFmtId="3" fontId="0" fillId="0" borderId="0" xfId="0" applyNumberFormat="1"/>
    <xf numFmtId="168" fontId="0" fillId="0" borderId="0" xfId="0" applyNumberFormat="1" applyAlignment="1">
      <alignment horizontal="center" vertical="center"/>
    </xf>
    <xf numFmtId="168" fontId="4" fillId="0" borderId="0" xfId="0" applyNumberFormat="1" applyFont="1"/>
    <xf numFmtId="1" fontId="4" fillId="0" borderId="0" xfId="0" applyNumberFormat="1" applyFont="1"/>
    <xf numFmtId="3" fontId="4" fillId="0" borderId="0" xfId="0" applyNumberFormat="1" applyFont="1"/>
    <xf numFmtId="168" fontId="4" fillId="0" borderId="0" xfId="0" applyNumberFormat="1" applyFont="1" applyAlignment="1">
      <alignment horizontal="center" vertical="center"/>
    </xf>
    <xf numFmtId="1" fontId="4" fillId="0" borderId="0" xfId="0" applyNumberFormat="1" applyFont="1" applyAlignment="1">
      <alignment horizontal="center" vertical="center"/>
    </xf>
    <xf numFmtId="3" fontId="4"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4" fillId="0" borderId="0" xfId="0" pivotButton="1" applyFont="1" applyAlignment="1">
      <alignment horizontal="center" vertical="center"/>
    </xf>
    <xf numFmtId="0" fontId="0" fillId="0" borderId="0" xfId="0" applyAlignment="1">
      <alignment horizontal="center" vertical="center"/>
    </xf>
    <xf numFmtId="168" fontId="0" fillId="0" borderId="3" xfId="0" applyNumberFormat="1" applyBorder="1"/>
    <xf numFmtId="168" fontId="0" fillId="3" borderId="5" xfId="0" applyNumberFormat="1" applyFill="1" applyBorder="1"/>
    <xf numFmtId="168" fontId="0" fillId="0" borderId="2" xfId="0" applyNumberFormat="1" applyBorder="1"/>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5" fillId="2" borderId="1" xfId="0" applyFont="1" applyFill="1" applyBorder="1" applyAlignment="1">
      <alignment horizontal="center" vertical="center"/>
    </xf>
    <xf numFmtId="168" fontId="2" fillId="2" borderId="9" xfId="0" applyNumberFormat="1" applyFont="1" applyFill="1" applyBorder="1" applyAlignment="1">
      <alignment horizontal="center" vertical="center"/>
    </xf>
    <xf numFmtId="168" fontId="2" fillId="2" borderId="10" xfId="0" applyNumberFormat="1" applyFont="1" applyFill="1" applyBorder="1" applyAlignment="1">
      <alignment horizontal="center" vertical="center"/>
    </xf>
    <xf numFmtId="168" fontId="0" fillId="3" borderId="4" xfId="0" applyNumberFormat="1" applyFill="1" applyBorder="1"/>
    <xf numFmtId="0" fontId="0" fillId="3" borderId="1" xfId="0" applyFill="1" applyBorder="1" applyAlignment="1">
      <alignment horizontal="left"/>
    </xf>
    <xf numFmtId="168" fontId="0" fillId="0" borderId="6" xfId="0" applyNumberFormat="1" applyBorder="1"/>
    <xf numFmtId="168" fontId="0" fillId="0" borderId="7" xfId="0" applyNumberFormat="1" applyBorder="1"/>
    <xf numFmtId="14" fontId="0" fillId="0" borderId="0" xfId="0" applyNumberFormat="1" applyAlignment="1">
      <alignment horizontal="center" vertical="center"/>
    </xf>
    <xf numFmtId="0" fontId="0" fillId="0" borderId="0" xfId="0" applyBorder="1"/>
    <xf numFmtId="0" fontId="0" fillId="0" borderId="0" xfId="0" applyBorder="1" applyProtection="1"/>
    <xf numFmtId="10" fontId="0" fillId="0" borderId="0" xfId="0" applyNumberFormat="1" applyBorder="1" applyProtection="1"/>
  </cellXfs>
  <cellStyles count="1">
    <cellStyle name="Normal" xfId="0" builtinId="0"/>
  </cellStyles>
  <dxfs count="1814">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alignment horizontal="center"/>
    </dxf>
    <dxf>
      <alignment vertical="center"/>
    </dxf>
    <dxf>
      <font>
        <sz val="12"/>
      </font>
    </dxf>
    <dxf>
      <alignment horizontal="center"/>
    </dxf>
    <dxf>
      <alignment vertical="center"/>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alignment horizontal="center"/>
    </dxf>
    <dxf>
      <alignment vertical="center"/>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168" formatCode="&quot;$&quot;#,##0.00"/>
    </dxf>
    <dxf>
      <numFmt numFmtId="168" formatCode="&quot;$&quot;#,##0.00"/>
    </dxf>
    <dxf>
      <font>
        <sz val="12"/>
      </font>
    </dxf>
    <dxf>
      <alignment horizontal="center"/>
    </dxf>
    <dxf>
      <alignment vertical="center"/>
    </dxf>
    <dxf>
      <alignment horizontal="center"/>
    </dxf>
    <dxf>
      <alignment vertical="center"/>
    </dxf>
    <dxf>
      <numFmt numFmtId="19" formatCode="m/d/yyyy"/>
    </dxf>
    <dxf>
      <numFmt numFmtId="168" formatCode="&quot;$&quot;#,##0.00"/>
    </dxf>
    <dxf>
      <numFmt numFmtId="168" formatCode="&quot;$&quot;#,##0.00"/>
    </dxf>
    <dxf>
      <alignment horizontal="center"/>
    </dxf>
    <dxf>
      <alignment horizontal="center"/>
    </dxf>
    <dxf>
      <alignment vertical="center"/>
    </dxf>
    <dxf>
      <alignment vertical="center"/>
    </dxf>
    <dxf>
      <font>
        <sz val="12"/>
      </font>
    </dxf>
    <dxf>
      <font>
        <sz val="12"/>
      </font>
    </dxf>
    <dxf>
      <alignment horizontal="center"/>
    </dxf>
    <dxf>
      <alignment vertical="center"/>
    </dxf>
    <dxf>
      <numFmt numFmtId="168" formatCode="&quot;$&quot;#,##0.00"/>
    </dxf>
    <dxf>
      <numFmt numFmtId="168" formatCode="&quot;$&quot;#,##0.00"/>
    </dxf>
    <dxf>
      <numFmt numFmtId="1" formatCode="0"/>
    </dxf>
    <dxf>
      <numFmt numFmtId="1" formatCode="0"/>
    </dxf>
    <dxf>
      <numFmt numFmtId="3" formatCode="#,##0"/>
    </dxf>
    <dxf>
      <numFmt numFmtId="3" formatCode="#,##0"/>
    </dxf>
    <dxf>
      <alignment horizontal="center"/>
    </dxf>
    <dxf>
      <alignment vertical="center"/>
    </dxf>
    <dxf>
      <font>
        <sz val="12"/>
      </font>
    </dxf>
    <dxf>
      <font>
        <sz val="12"/>
      </font>
    </dxf>
    <dxf>
      <font>
        <sz val="12"/>
      </font>
    </dxf>
    <dxf>
      <font>
        <sz val="12"/>
      </font>
    </dxf>
    <dxf>
      <alignment vertical="center"/>
    </dxf>
    <dxf>
      <alignment horizontal="center"/>
    </dxf>
    <dxf>
      <alignment vertical="center"/>
    </dxf>
    <dxf>
      <alignment vertical="center"/>
    </dxf>
    <dxf>
      <alignment horizontal="center"/>
    </dxf>
    <dxf>
      <alignment horizontal="center"/>
    </dxf>
    <dxf>
      <numFmt numFmtId="168" formatCode="&quot;$&quot;#,##0.00"/>
    </dxf>
    <dxf>
      <numFmt numFmtId="168" formatCode="&quot;$&quot;#,##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0070C0"/>
        </patternFill>
      </fill>
    </dxf>
    <dxf>
      <fill>
        <patternFill patternType="solid">
          <bgColor rgb="FF0070C0"/>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border>
        <right style="thin">
          <color indexed="64"/>
        </right>
      </border>
    </dxf>
    <dxf>
      <numFmt numFmtId="0" formatCode="General"/>
    </dxf>
    <dxf>
      <numFmt numFmtId="0" formatCode="General"/>
    </dxf>
    <dxf>
      <numFmt numFmtId="19" formatCode="m/d/yyyy"/>
    </dxf>
    <dxf>
      <numFmt numFmtId="1" formatCode="0"/>
    </dxf>
    <dxf>
      <font>
        <b/>
        <i val="0"/>
        <strike val="0"/>
        <condense val="0"/>
        <extend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[Company-Sales-Profit-KPI-Dashboard.xlsx]Trend_Pivot!PivotTable4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flat">
            <a:solidFill>
              <a:schemeClr val="accent2"/>
            </a:solidFill>
            <a:round/>
          </a:ln>
          <a:effectLst/>
        </c:spPr>
        <c:marker>
          <c:symbol val="diamond"/>
          <c:size val="6"/>
          <c:spPr>
            <a:solidFill>
              <a:schemeClr val="accent1"/>
            </a:solidFill>
            <a:ln w="9525" cmpd="sng">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flat">
            <a:solidFill>
              <a:schemeClr val="accent2"/>
            </a:solidFill>
            <a:round/>
          </a:ln>
          <a:effectLst/>
        </c:spPr>
        <c:marker>
          <c:symbol val="diamond"/>
          <c:size val="6"/>
          <c:spPr>
            <a:solidFill>
              <a:schemeClr val="accent1"/>
            </a:solidFill>
            <a:ln w="9525" cmpd="sng">
              <a:solidFill>
                <a:schemeClr val="accent1"/>
              </a:solidFill>
              <a:round/>
            </a:ln>
            <a:effectLst/>
          </c:spPr>
        </c:marker>
      </c:pivotFmt>
      <c:pivotFmt>
        <c:idx val="4"/>
        <c:spPr>
          <a:ln w="22225" cap="flat">
            <a:solidFill>
              <a:schemeClr val="accent2"/>
            </a:solidFill>
            <a:round/>
          </a:ln>
          <a:effectLst/>
        </c:spPr>
        <c:marker>
          <c:symbol val="diamond"/>
          <c:size val="6"/>
          <c:spPr>
            <a:solidFill>
              <a:schemeClr val="accent1"/>
            </a:solidFill>
            <a:ln w="9525" cmpd="sng">
              <a:solidFill>
                <a:schemeClr val="accent1"/>
              </a:solidFill>
              <a:round/>
            </a:ln>
            <a:effectLst/>
          </c:spPr>
        </c:marker>
      </c:pivotFmt>
      <c:pivotFmt>
        <c:idx val="5"/>
        <c:spPr>
          <a:ln w="22225" cap="flat">
            <a:solidFill>
              <a:schemeClr val="accent2"/>
            </a:solidFill>
            <a:round/>
          </a:ln>
          <a:effectLst/>
        </c:spPr>
        <c:marker>
          <c:symbol val="diamond"/>
          <c:size val="6"/>
          <c:spPr>
            <a:solidFill>
              <a:schemeClr val="accent1"/>
            </a:solidFill>
            <a:ln w="9525" cmpd="sng">
              <a:solidFill>
                <a:schemeClr val="accent1"/>
              </a:solidFill>
              <a:round/>
            </a:ln>
            <a:effectLst/>
          </c:spPr>
        </c:marker>
      </c:pivotFmt>
    </c:pivotFmts>
    <c:plotArea>
      <c:layout/>
      <c:lineChart>
        <c:grouping val="standard"/>
        <c:varyColors val="0"/>
        <c:ser>
          <c:idx val="0"/>
          <c:order val="0"/>
          <c:tx>
            <c:strRef>
              <c:f>Trend_Pivot!$C$3</c:f>
              <c:strCache>
                <c:ptCount val="1"/>
                <c:pt idx="0">
                  <c:v>Total</c:v>
                </c:pt>
              </c:strCache>
            </c:strRef>
          </c:tx>
          <c:spPr>
            <a:ln w="22225" cap="flat">
              <a:solidFill>
                <a:schemeClr val="accent2"/>
              </a:solidFill>
              <a:round/>
            </a:ln>
            <a:effectLst/>
          </c:spPr>
          <c:marker>
            <c:symbol val="diamond"/>
            <c:size val="6"/>
            <c:spPr>
              <a:solidFill>
                <a:schemeClr val="accent1"/>
              </a:solidFill>
              <a:ln w="9525" cmpd="sng">
                <a:solidFill>
                  <a:schemeClr val="accent1"/>
                </a:solidFill>
                <a:round/>
              </a:ln>
              <a:effectLst/>
            </c:spPr>
          </c:marker>
          <c:dPt>
            <c:idx val="0"/>
            <c:marker>
              <c:symbol val="diamond"/>
              <c:size val="6"/>
              <c:spPr>
                <a:solidFill>
                  <a:schemeClr val="accent1"/>
                </a:solidFill>
                <a:ln w="9525" cmpd="sng">
                  <a:solidFill>
                    <a:schemeClr val="tx1"/>
                  </a:solidFill>
                  <a:round/>
                </a:ln>
                <a:effectLst/>
              </c:spPr>
            </c:marker>
            <c:bubble3D val="0"/>
            <c:extLst>
              <c:ext xmlns:c16="http://schemas.microsoft.com/office/drawing/2014/chart" uri="{C3380CC4-5D6E-409C-BE32-E72D297353CC}">
                <c16:uniqueId val="{00000003-9720-4BFF-BAB6-786083E2F8ED}"/>
              </c:ext>
            </c:extLst>
          </c:dPt>
          <c:cat>
            <c:multiLvlStrRef>
              <c:f>Trend_Pivot!$A$4:$B$7</c:f>
              <c:multiLvlStrCache>
                <c:ptCount val="3"/>
                <c:lvl>
                  <c:pt idx="0">
                    <c:v>Jan</c:v>
                  </c:pt>
                  <c:pt idx="1">
                    <c:v>Feb</c:v>
                  </c:pt>
                  <c:pt idx="2">
                    <c:v>Mar</c:v>
                  </c:pt>
                </c:lvl>
                <c:lvl>
                  <c:pt idx="0">
                    <c:v>2025</c:v>
                  </c:pt>
                </c:lvl>
              </c:multiLvlStrCache>
            </c:multiLvlStrRef>
          </c:cat>
          <c:val>
            <c:numRef>
              <c:f>Trend_Pivot!$C$4:$C$7</c:f>
              <c:numCache>
                <c:formatCode>"$"#,##0.00</c:formatCode>
                <c:ptCount val="3"/>
                <c:pt idx="0">
                  <c:v>44935</c:v>
                </c:pt>
                <c:pt idx="1">
                  <c:v>14975</c:v>
                </c:pt>
                <c:pt idx="2">
                  <c:v>27845</c:v>
                </c:pt>
              </c:numCache>
            </c:numRef>
          </c:val>
          <c:smooth val="0"/>
          <c:extLst>
            <c:ext xmlns:c16="http://schemas.microsoft.com/office/drawing/2014/chart" uri="{C3380CC4-5D6E-409C-BE32-E72D297353CC}">
              <c16:uniqueId val="{00000000-9720-4BFF-BAB6-786083E2F8ED}"/>
            </c:ext>
          </c:extLst>
        </c:ser>
        <c:dLbls>
          <c:showLegendKey val="0"/>
          <c:showVal val="0"/>
          <c:showCatName val="0"/>
          <c:showSerName val="0"/>
          <c:showPercent val="0"/>
          <c:showBubbleSize val="0"/>
        </c:dLbls>
        <c:marker val="1"/>
        <c:smooth val="0"/>
        <c:axId val="1563217200"/>
        <c:axId val="1563215760"/>
      </c:lineChart>
      <c:catAx>
        <c:axId val="1563217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563215760"/>
        <c:crosses val="autoZero"/>
        <c:auto val="1"/>
        <c:lblAlgn val="ctr"/>
        <c:lblOffset val="100"/>
        <c:noMultiLvlLbl val="0"/>
      </c:catAx>
      <c:valAx>
        <c:axId val="1563215760"/>
        <c:scaling>
          <c:orientation val="minMax"/>
        </c:scaling>
        <c:delete val="0"/>
        <c:axPos val="l"/>
        <c:numFmt formatCode="&quot;$&quot;#,##0.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321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[Company-Sales-Profit-KPI-Dashboard.xlsx]Salesperson_Pivot!PivotTable2</c:name>
    <c:fmtId val="14"/>
  </c:pivotSource>
  <c:chart>
    <c:autoTitleDeleted val="1"/>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90351888396083"/>
          <c:y val="0.2005933633295838"/>
          <c:w val="0.7098826785996013"/>
          <c:h val="0.45935508061492314"/>
        </c:manualLayout>
      </c:layout>
      <c:bar3DChart>
        <c:barDir val="col"/>
        <c:grouping val="clustered"/>
        <c:varyColors val="0"/>
        <c:ser>
          <c:idx val="0"/>
          <c:order val="0"/>
          <c:tx>
            <c:strRef>
              <c:f>Salesperson_Pivot!$B$3</c:f>
              <c:strCache>
                <c:ptCount val="1"/>
                <c:pt idx="0">
                  <c:v>Total Sales</c:v>
                </c:pt>
              </c:strCache>
            </c:strRef>
          </c:tx>
          <c:spPr>
            <a:gradFill>
              <a:gsLst>
                <a:gs pos="100000">
                  <a:schemeClr val="accent1">
                    <a:alpha val="0"/>
                  </a:schemeClr>
                </a:gs>
                <a:gs pos="50000">
                  <a:schemeClr val="accent1"/>
                </a:gs>
              </a:gsLst>
              <a:lin ang="5400000" scaled="0"/>
            </a:gradFill>
            <a:ln>
              <a:noFill/>
            </a:ln>
            <a:effectLst/>
            <a:sp3d/>
          </c:spPr>
          <c:invertIfNegative val="0"/>
          <c:cat>
            <c:strRef>
              <c:f>Salesperson_Pivot!$A$4:$A$14</c:f>
              <c:strCache>
                <c:ptCount val="10"/>
                <c:pt idx="0">
                  <c:v>James</c:v>
                </c:pt>
                <c:pt idx="1">
                  <c:v>Den</c:v>
                </c:pt>
                <c:pt idx="2">
                  <c:v>Christopher</c:v>
                </c:pt>
                <c:pt idx="3">
                  <c:v>Steve</c:v>
                </c:pt>
                <c:pt idx="4">
                  <c:v>Robert</c:v>
                </c:pt>
                <c:pt idx="5">
                  <c:v>John</c:v>
                </c:pt>
                <c:pt idx="6">
                  <c:v>Jennifer</c:v>
                </c:pt>
                <c:pt idx="7">
                  <c:v>Jessica</c:v>
                </c:pt>
                <c:pt idx="8">
                  <c:v>David</c:v>
                </c:pt>
                <c:pt idx="9">
                  <c:v>Olivia</c:v>
                </c:pt>
              </c:strCache>
            </c:strRef>
          </c:cat>
          <c:val>
            <c:numRef>
              <c:f>Salesperson_Pivot!$B$4:$B$14</c:f>
              <c:numCache>
                <c:formatCode>"$"#,##0.00</c:formatCode>
                <c:ptCount val="10"/>
                <c:pt idx="0">
                  <c:v>26950</c:v>
                </c:pt>
                <c:pt idx="1">
                  <c:v>7200</c:v>
                </c:pt>
                <c:pt idx="2">
                  <c:v>7200</c:v>
                </c:pt>
                <c:pt idx="3">
                  <c:v>6520</c:v>
                </c:pt>
                <c:pt idx="4">
                  <c:v>5760</c:v>
                </c:pt>
                <c:pt idx="5">
                  <c:v>3840</c:v>
                </c:pt>
                <c:pt idx="6">
                  <c:v>3600</c:v>
                </c:pt>
                <c:pt idx="7">
                  <c:v>3300</c:v>
                </c:pt>
                <c:pt idx="8">
                  <c:v>3050</c:v>
                </c:pt>
                <c:pt idx="9">
                  <c:v>2880</c:v>
                </c:pt>
              </c:numCache>
            </c:numRef>
          </c:val>
          <c:extLst>
            <c:ext xmlns:c16="http://schemas.microsoft.com/office/drawing/2014/chart" uri="{C3380CC4-5D6E-409C-BE32-E72D297353CC}">
              <c16:uniqueId val="{00000000-1886-4E9A-A9E7-777CD780AB88}"/>
            </c:ext>
          </c:extLst>
        </c:ser>
        <c:ser>
          <c:idx val="1"/>
          <c:order val="1"/>
          <c:tx>
            <c:strRef>
              <c:f>Salesperson_Pivot!$C$3</c:f>
              <c:strCache>
                <c:ptCount val="1"/>
                <c:pt idx="0">
                  <c:v>Total Profit</c:v>
                </c:pt>
              </c:strCache>
            </c:strRef>
          </c:tx>
          <c:spPr>
            <a:gradFill>
              <a:gsLst>
                <a:gs pos="100000">
                  <a:schemeClr val="accent2">
                    <a:alpha val="0"/>
                  </a:schemeClr>
                </a:gs>
                <a:gs pos="50000">
                  <a:schemeClr val="accent2"/>
                </a:gs>
              </a:gsLst>
              <a:lin ang="5400000" scaled="0"/>
            </a:gradFill>
            <a:ln>
              <a:noFill/>
            </a:ln>
            <a:effectLst/>
            <a:sp3d/>
          </c:spPr>
          <c:invertIfNegative val="0"/>
          <c:cat>
            <c:strRef>
              <c:f>Salesperson_Pivot!$A$4:$A$14</c:f>
              <c:strCache>
                <c:ptCount val="10"/>
                <c:pt idx="0">
                  <c:v>James</c:v>
                </c:pt>
                <c:pt idx="1">
                  <c:v>Den</c:v>
                </c:pt>
                <c:pt idx="2">
                  <c:v>Christopher</c:v>
                </c:pt>
                <c:pt idx="3">
                  <c:v>Steve</c:v>
                </c:pt>
                <c:pt idx="4">
                  <c:v>Robert</c:v>
                </c:pt>
                <c:pt idx="5">
                  <c:v>John</c:v>
                </c:pt>
                <c:pt idx="6">
                  <c:v>Jennifer</c:v>
                </c:pt>
                <c:pt idx="7">
                  <c:v>Jessica</c:v>
                </c:pt>
                <c:pt idx="8">
                  <c:v>David</c:v>
                </c:pt>
                <c:pt idx="9">
                  <c:v>Olivia</c:v>
                </c:pt>
              </c:strCache>
            </c:strRef>
          </c:cat>
          <c:val>
            <c:numRef>
              <c:f>Salesperson_Pivot!$C$4:$C$14</c:f>
              <c:numCache>
                <c:formatCode>"$"#,##0.00</c:formatCode>
                <c:ptCount val="10"/>
                <c:pt idx="0">
                  <c:v>8085.0000000000018</c:v>
                </c:pt>
                <c:pt idx="1">
                  <c:v>2160</c:v>
                </c:pt>
                <c:pt idx="2">
                  <c:v>2160</c:v>
                </c:pt>
                <c:pt idx="3">
                  <c:v>1956.0000000000005</c:v>
                </c:pt>
                <c:pt idx="4">
                  <c:v>1728</c:v>
                </c:pt>
                <c:pt idx="5">
                  <c:v>1152</c:v>
                </c:pt>
                <c:pt idx="6">
                  <c:v>1080.0000000000002</c:v>
                </c:pt>
                <c:pt idx="7">
                  <c:v>990</c:v>
                </c:pt>
                <c:pt idx="8">
                  <c:v>915.00000000000023</c:v>
                </c:pt>
                <c:pt idx="9">
                  <c:v>864</c:v>
                </c:pt>
              </c:numCache>
            </c:numRef>
          </c:val>
          <c:extLst>
            <c:ext xmlns:c16="http://schemas.microsoft.com/office/drawing/2014/chart" uri="{C3380CC4-5D6E-409C-BE32-E72D297353CC}">
              <c16:uniqueId val="{00000001-1886-4E9A-A9E7-777CD780AB88}"/>
            </c:ext>
          </c:extLst>
        </c:ser>
        <c:dLbls>
          <c:showLegendKey val="0"/>
          <c:showVal val="0"/>
          <c:showCatName val="0"/>
          <c:showSerName val="0"/>
          <c:showPercent val="0"/>
          <c:showBubbleSize val="0"/>
        </c:dLbls>
        <c:gapWidth val="150"/>
        <c:gapDepth val="0"/>
        <c:shape val="box"/>
        <c:axId val="1471599520"/>
        <c:axId val="1471600480"/>
        <c:axId val="0"/>
      </c:bar3DChart>
      <c:catAx>
        <c:axId val="147159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25400" dir="5400000" algn="ctr" rotWithShape="0">
                    <a:srgbClr val="6E747A">
                      <a:alpha val="43000"/>
                    </a:srgb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crossAx val="1471600480"/>
        <c:crosses val="autoZero"/>
        <c:auto val="1"/>
        <c:lblAlgn val="ctr"/>
        <c:lblOffset val="100"/>
        <c:noMultiLvlLbl val="0"/>
      </c:catAx>
      <c:valAx>
        <c:axId val="147160048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25400" dir="5400000" algn="ctr" rotWithShape="0">
                    <a:srgbClr val="6E747A">
                      <a:alpha val="43000"/>
                    </a:srgb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crossAx val="147159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[Company-Sales-Profit-KPI-Dashboard.xlsx]Product_Profit_Pivot!PivotTable3</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Product_Profit_Pivot!$B$3</c:f>
              <c:strCache>
                <c:ptCount val="1"/>
                <c:pt idx="0">
                  <c:v>Sum of Sales</c:v>
                </c:pt>
              </c:strCache>
            </c:strRef>
          </c:tx>
          <c:spPr>
            <a:solidFill>
              <a:schemeClr val="accent1"/>
            </a:solidFill>
            <a:ln>
              <a:noFill/>
            </a:ln>
            <a:effectLst/>
            <a:sp3d/>
          </c:spPr>
          <c:invertIfNegative val="0"/>
          <c:cat>
            <c:strRef>
              <c:f>Product_Profit_Pivot!$A$4:$A$8</c:f>
              <c:strCache>
                <c:ptCount val="4"/>
                <c:pt idx="0">
                  <c:v>Keyboard</c:v>
                </c:pt>
                <c:pt idx="1">
                  <c:v>Laptop</c:v>
                </c:pt>
                <c:pt idx="2">
                  <c:v>Monitor</c:v>
                </c:pt>
                <c:pt idx="3">
                  <c:v>Mouse</c:v>
                </c:pt>
              </c:strCache>
            </c:strRef>
          </c:cat>
          <c:val>
            <c:numRef>
              <c:f>Product_Profit_Pivot!$B$4:$B$8</c:f>
              <c:numCache>
                <c:formatCode>"$"#,##0.00</c:formatCode>
                <c:ptCount val="4"/>
                <c:pt idx="0">
                  <c:v>9975</c:v>
                </c:pt>
                <c:pt idx="1">
                  <c:v>64100</c:v>
                </c:pt>
                <c:pt idx="2">
                  <c:v>10100</c:v>
                </c:pt>
                <c:pt idx="3">
                  <c:v>3580</c:v>
                </c:pt>
              </c:numCache>
            </c:numRef>
          </c:val>
          <c:extLst>
            <c:ext xmlns:c16="http://schemas.microsoft.com/office/drawing/2014/chart" uri="{C3380CC4-5D6E-409C-BE32-E72D297353CC}">
              <c16:uniqueId val="{00000000-168B-49BE-B80A-5B6D4A493303}"/>
            </c:ext>
          </c:extLst>
        </c:ser>
        <c:ser>
          <c:idx val="1"/>
          <c:order val="1"/>
          <c:tx>
            <c:strRef>
              <c:f>Product_Profit_Pivot!$C$3</c:f>
              <c:strCache>
                <c:ptCount val="1"/>
                <c:pt idx="0">
                  <c:v>Sum of Profit</c:v>
                </c:pt>
              </c:strCache>
            </c:strRef>
          </c:tx>
          <c:spPr>
            <a:solidFill>
              <a:schemeClr val="accent2"/>
            </a:solidFill>
            <a:ln>
              <a:noFill/>
            </a:ln>
            <a:effectLst/>
            <a:sp3d/>
          </c:spPr>
          <c:invertIfNegative val="0"/>
          <c:cat>
            <c:strRef>
              <c:f>Product_Profit_Pivot!$A$4:$A$8</c:f>
              <c:strCache>
                <c:ptCount val="4"/>
                <c:pt idx="0">
                  <c:v>Keyboard</c:v>
                </c:pt>
                <c:pt idx="1">
                  <c:v>Laptop</c:v>
                </c:pt>
                <c:pt idx="2">
                  <c:v>Monitor</c:v>
                </c:pt>
                <c:pt idx="3">
                  <c:v>Mouse</c:v>
                </c:pt>
              </c:strCache>
            </c:strRef>
          </c:cat>
          <c:val>
            <c:numRef>
              <c:f>Product_Profit_Pivot!$C$4:$C$8</c:f>
              <c:numCache>
                <c:formatCode>"$"#,##0.00</c:formatCode>
                <c:ptCount val="4"/>
                <c:pt idx="0">
                  <c:v>2992.5</c:v>
                </c:pt>
                <c:pt idx="1">
                  <c:v>19230</c:v>
                </c:pt>
                <c:pt idx="2">
                  <c:v>3030</c:v>
                </c:pt>
                <c:pt idx="3">
                  <c:v>1074</c:v>
                </c:pt>
              </c:numCache>
            </c:numRef>
          </c:val>
          <c:extLst>
            <c:ext xmlns:c16="http://schemas.microsoft.com/office/drawing/2014/chart" uri="{C3380CC4-5D6E-409C-BE32-E72D297353CC}">
              <c16:uniqueId val="{00000004-168B-49BE-B80A-5B6D4A493303}"/>
            </c:ext>
          </c:extLst>
        </c:ser>
        <c:dLbls>
          <c:showLegendKey val="0"/>
          <c:showVal val="0"/>
          <c:showCatName val="0"/>
          <c:showSerName val="0"/>
          <c:showPercent val="0"/>
          <c:showBubbleSize val="0"/>
        </c:dLbls>
        <c:gapWidth val="150"/>
        <c:shape val="box"/>
        <c:axId val="2112249296"/>
        <c:axId val="2112248336"/>
        <c:axId val="0"/>
      </c:bar3DChart>
      <c:catAx>
        <c:axId val="21122492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112248336"/>
        <c:crosses val="autoZero"/>
        <c:auto val="1"/>
        <c:lblAlgn val="ctr"/>
        <c:lblOffset val="100"/>
        <c:noMultiLvlLbl val="0"/>
      </c:catAx>
      <c:valAx>
        <c:axId val="2112248336"/>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11224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64769</xdr:colOff>
      <xdr:row>9</xdr:row>
      <xdr:rowOff>97917</xdr:rowOff>
    </xdr:from>
    <xdr:to>
      <xdr:col>14</xdr:col>
      <xdr:colOff>247649</xdr:colOff>
      <xdr:row>25</xdr:row>
      <xdr:rowOff>90297</xdr:rowOff>
    </xdr:to>
    <xdr:grpSp>
      <xdr:nvGrpSpPr>
        <xdr:cNvPr id="43" name="Group 42">
          <a:extLst>
            <a:ext uri="{FF2B5EF4-FFF2-40B4-BE49-F238E27FC236}">
              <a16:creationId xmlns:a16="http://schemas.microsoft.com/office/drawing/2014/main" id="{4771E0BB-15D4-2AB3-3B66-316B563EE432}"/>
            </a:ext>
          </a:extLst>
        </xdr:cNvPr>
        <xdr:cNvGrpSpPr/>
      </xdr:nvGrpSpPr>
      <xdr:grpSpPr>
        <a:xfrm>
          <a:off x="64769" y="1743837"/>
          <a:ext cx="8717280" cy="2918460"/>
          <a:chOff x="2476500" y="1866900"/>
          <a:chExt cx="8229600" cy="2446020"/>
        </a:xfrm>
      </xdr:grpSpPr>
      <xdr:sp macro="" textlink="">
        <xdr:nvSpPr>
          <xdr:cNvPr id="42" name="Rectangle: Rounded Corners 41">
            <a:extLst>
              <a:ext uri="{FF2B5EF4-FFF2-40B4-BE49-F238E27FC236}">
                <a16:creationId xmlns:a16="http://schemas.microsoft.com/office/drawing/2014/main" id="{2B877178-696D-47E0-7739-8A7B37BF5CDD}"/>
              </a:ext>
            </a:extLst>
          </xdr:cNvPr>
          <xdr:cNvSpPr/>
        </xdr:nvSpPr>
        <xdr:spPr>
          <a:xfrm>
            <a:off x="2476500" y="1866900"/>
            <a:ext cx="8229600" cy="2446020"/>
          </a:xfrm>
          <a:prstGeom prst="roundRect">
            <a:avLst/>
          </a:prstGeom>
          <a:gradFill>
            <a:gsLst>
              <a:gs pos="0">
                <a:schemeClr val="tx2">
                  <a:lumMod val="50000"/>
                  <a:lumOff val="50000"/>
                </a:schemeClr>
              </a:gs>
              <a:gs pos="50000">
                <a:srgbClr val="0070C0">
                  <a:shade val="67500"/>
                  <a:satMod val="115000"/>
                </a:srgbClr>
              </a:gs>
              <a:gs pos="100000">
                <a:srgbClr val="0070C0">
                  <a:shade val="100000"/>
                  <a:satMod val="115000"/>
                </a:srgbClr>
              </a:gs>
            </a:gsLst>
            <a:path path="circle">
              <a:fillToRect l="100000" t="100000"/>
            </a:path>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800" b="1">
                <a:solidFill>
                  <a:schemeClr val="lt1"/>
                </a:solidFill>
                <a:latin typeface="Calibri" panose="020F0502020204030204" pitchFamily="34" charset="0"/>
                <a:ea typeface="Calibri" panose="020F0502020204030204" pitchFamily="34" charset="0"/>
                <a:cs typeface="Calibri" panose="020F0502020204030204" pitchFamily="34" charset="0"/>
              </a:rPr>
              <a:t>Monthly Sales Trend</a:t>
            </a:r>
          </a:p>
          <a:p>
            <a:pPr marL="0" indent="0" algn="ctr"/>
            <a:endParaRPr lang="en-US" sz="3200" b="1">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graphicFrame macro="">
        <xdr:nvGraphicFramePr>
          <xdr:cNvPr id="4" name="Chart 3">
            <a:extLst>
              <a:ext uri="{FF2B5EF4-FFF2-40B4-BE49-F238E27FC236}">
                <a16:creationId xmlns:a16="http://schemas.microsoft.com/office/drawing/2014/main" id="{A3C94C01-F5C9-44DD-B003-E04C0E97623D}"/>
              </a:ext>
            </a:extLst>
          </xdr:cNvPr>
          <xdr:cNvGraphicFramePr>
            <a:graphicFrameLocks/>
          </xdr:cNvGraphicFramePr>
        </xdr:nvGraphicFramePr>
        <xdr:xfrm>
          <a:off x="2598420" y="2377440"/>
          <a:ext cx="7650480" cy="17907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114299</xdr:colOff>
      <xdr:row>5</xdr:row>
      <xdr:rowOff>102870</xdr:rowOff>
    </xdr:from>
    <xdr:to>
      <xdr:col>14</xdr:col>
      <xdr:colOff>214164</xdr:colOff>
      <xdr:row>9</xdr:row>
      <xdr:rowOff>12954</xdr:rowOff>
    </xdr:to>
    <xdr:grpSp>
      <xdr:nvGrpSpPr>
        <xdr:cNvPr id="6150" name="Group 6149">
          <a:extLst>
            <a:ext uri="{FF2B5EF4-FFF2-40B4-BE49-F238E27FC236}">
              <a16:creationId xmlns:a16="http://schemas.microsoft.com/office/drawing/2014/main" id="{26630E0B-31C4-3FB1-3B79-420678FFB3DB}"/>
            </a:ext>
          </a:extLst>
        </xdr:cNvPr>
        <xdr:cNvGrpSpPr/>
      </xdr:nvGrpSpPr>
      <xdr:grpSpPr>
        <a:xfrm>
          <a:off x="114299" y="1017270"/>
          <a:ext cx="8634265" cy="641604"/>
          <a:chOff x="114299" y="1024890"/>
          <a:chExt cx="8634265" cy="641604"/>
        </a:xfrm>
      </xdr:grpSpPr>
      <xdr:grpSp>
        <xdr:nvGrpSpPr>
          <xdr:cNvPr id="6146" name="Group 6145">
            <a:extLst>
              <a:ext uri="{FF2B5EF4-FFF2-40B4-BE49-F238E27FC236}">
                <a16:creationId xmlns:a16="http://schemas.microsoft.com/office/drawing/2014/main" id="{D7A1E697-4F74-3B51-8742-EBAD9C8217D8}"/>
              </a:ext>
            </a:extLst>
          </xdr:cNvPr>
          <xdr:cNvGrpSpPr/>
        </xdr:nvGrpSpPr>
        <xdr:grpSpPr>
          <a:xfrm>
            <a:off x="114299" y="1024890"/>
            <a:ext cx="2319131" cy="605790"/>
            <a:chOff x="91439" y="1024890"/>
            <a:chExt cx="2020824" cy="605790"/>
          </a:xfrm>
        </xdr:grpSpPr>
        <xdr:sp macro="" textlink="">
          <xdr:nvSpPr>
            <xdr:cNvPr id="5" name="Rectangle: Rounded Corners 4">
              <a:extLst>
                <a:ext uri="{FF2B5EF4-FFF2-40B4-BE49-F238E27FC236}">
                  <a16:creationId xmlns:a16="http://schemas.microsoft.com/office/drawing/2014/main" id="{A36DE342-610A-6B04-A00F-81D4CA17E6D2}"/>
                </a:ext>
              </a:extLst>
            </xdr:cNvPr>
            <xdr:cNvSpPr/>
          </xdr:nvSpPr>
          <xdr:spPr>
            <a:xfrm>
              <a:off x="91439" y="1024890"/>
              <a:ext cx="2020824" cy="60579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path path="circle">
                <a:fillToRect l="100000" t="100000"/>
              </a:path>
              <a:tileRect r="-100000" b="-100000"/>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chemeClr val="lt1"/>
                </a:solidFill>
                <a:effectLst/>
                <a:latin typeface="+mn-lt"/>
                <a:ea typeface="+mn-ea"/>
                <a:cs typeface="+mn-cs"/>
              </a:endParaRPr>
            </a:p>
          </xdr:txBody>
        </xdr:sp>
        <xdr:sp macro="" textlink="">
          <xdr:nvSpPr>
            <xdr:cNvPr id="6" name="TextBox 5">
              <a:extLst>
                <a:ext uri="{FF2B5EF4-FFF2-40B4-BE49-F238E27FC236}">
                  <a16:creationId xmlns:a16="http://schemas.microsoft.com/office/drawing/2014/main" id="{C282F74A-C0B4-84B6-4557-A36EEEB29CAC}"/>
                </a:ext>
              </a:extLst>
            </xdr:cNvPr>
            <xdr:cNvSpPr txBox="1"/>
          </xdr:nvSpPr>
          <xdr:spPr>
            <a:xfrm>
              <a:off x="238012" y="1059277"/>
              <a:ext cx="1658710" cy="225513"/>
            </a:xfrm>
            <a:prstGeom prst="rect">
              <a:avLst/>
            </a:prstGeom>
            <a:no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cap="none" spc="0">
                  <a:ln w="0">
                    <a:noFill/>
                  </a:ln>
                  <a:solidFill>
                    <a:schemeClr val="bg1"/>
                  </a:solidFill>
                  <a:effectLst/>
                  <a:latin typeface="Calibri" panose="020F0502020204030204" pitchFamily="34" charset="0"/>
                  <a:ea typeface="Calibri" panose="020F0502020204030204" pitchFamily="34" charset="0"/>
                  <a:cs typeface="Calibri" panose="020F0502020204030204" pitchFamily="34" charset="0"/>
                </a:rPr>
                <a:t>TOTAL SALES</a:t>
              </a:r>
            </a:p>
          </xdr:txBody>
        </xdr:sp>
        <xdr:sp macro="" textlink="KPI_Pivot!$A$4">
          <xdr:nvSpPr>
            <xdr:cNvPr id="7" name="TextBox 6">
              <a:extLst>
                <a:ext uri="{FF2B5EF4-FFF2-40B4-BE49-F238E27FC236}">
                  <a16:creationId xmlns:a16="http://schemas.microsoft.com/office/drawing/2014/main" id="{DBF5586E-6D67-9A86-6B5E-7B5EA5FFC52E}"/>
                </a:ext>
              </a:extLst>
            </xdr:cNvPr>
            <xdr:cNvSpPr txBox="1"/>
          </xdr:nvSpPr>
          <xdr:spPr>
            <a:xfrm>
              <a:off x="253409" y="1332680"/>
              <a:ext cx="1597560" cy="172451"/>
            </a:xfrm>
            <a:prstGeom prst="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path path="circle">
                <a:fillToRect l="100000" t="100000"/>
              </a:path>
              <a:tileRect r="-100000" b="-100000"/>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7056C56-6A0A-41F7-ABE7-F9F72737E262}" type="TxLink">
                <a:rPr lang="en-US" sz="1600" b="1">
                  <a:solidFill>
                    <a:schemeClr val="bg1"/>
                  </a:solidFill>
                  <a:effectLst/>
                  <a:latin typeface="Calibri" panose="020F0502020204030204" pitchFamily="34" charset="0"/>
                  <a:ea typeface="Calibri" panose="020F0502020204030204" pitchFamily="34" charset="0"/>
                  <a:cs typeface="Calibri" panose="020F0502020204030204" pitchFamily="34" charset="0"/>
                </a:rPr>
                <a:pPr marL="0" indent="0" algn="ctr"/>
                <a:t>$87,755.00</a:t>
              </a:fld>
              <a:endParaRPr lang="en-US" sz="1600" b="1">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grpSp>
      <xdr:grpSp>
        <xdr:nvGrpSpPr>
          <xdr:cNvPr id="6149" name="Group 6148">
            <a:extLst>
              <a:ext uri="{FF2B5EF4-FFF2-40B4-BE49-F238E27FC236}">
                <a16:creationId xmlns:a16="http://schemas.microsoft.com/office/drawing/2014/main" id="{6141003F-355E-BBA1-FE48-D328B86E55F6}"/>
              </a:ext>
            </a:extLst>
          </xdr:cNvPr>
          <xdr:cNvGrpSpPr/>
        </xdr:nvGrpSpPr>
        <xdr:grpSpPr>
          <a:xfrm>
            <a:off x="6727740" y="1062990"/>
            <a:ext cx="2020824" cy="603504"/>
            <a:chOff x="8465100" y="1047750"/>
            <a:chExt cx="2020824" cy="603504"/>
          </a:xfrm>
        </xdr:grpSpPr>
        <xdr:sp macro="" textlink="">
          <xdr:nvSpPr>
            <xdr:cNvPr id="22" name="Rectangle: Rounded Corners 21">
              <a:extLst>
                <a:ext uri="{FF2B5EF4-FFF2-40B4-BE49-F238E27FC236}">
                  <a16:creationId xmlns:a16="http://schemas.microsoft.com/office/drawing/2014/main" id="{3FF6B292-6E3A-41AA-40C9-95E71F5CA2BC}"/>
                </a:ext>
              </a:extLst>
            </xdr:cNvPr>
            <xdr:cNvSpPr/>
          </xdr:nvSpPr>
          <xdr:spPr>
            <a:xfrm>
              <a:off x="8465100" y="1047750"/>
              <a:ext cx="2020824" cy="603504"/>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path path="circle">
                <a:fillToRect l="100000" t="100000"/>
              </a:path>
              <a:tileRect r="-100000" b="-100000"/>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23" name="TextBox 22">
              <a:extLst>
                <a:ext uri="{FF2B5EF4-FFF2-40B4-BE49-F238E27FC236}">
                  <a16:creationId xmlns:a16="http://schemas.microsoft.com/office/drawing/2014/main" id="{3653AE52-3F1E-F689-D16A-BF70EB4D4F3C}"/>
                </a:ext>
              </a:extLst>
            </xdr:cNvPr>
            <xdr:cNvSpPr txBox="1"/>
          </xdr:nvSpPr>
          <xdr:spPr>
            <a:xfrm>
              <a:off x="8679715" y="1088820"/>
              <a:ext cx="1649261" cy="224662"/>
            </a:xfrm>
            <a:prstGeom prst="rect">
              <a:avLst/>
            </a:prstGeom>
            <a:no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cap="none" spc="0">
                  <a:ln w="0">
                    <a:noFill/>
                  </a:ln>
                  <a:solidFill>
                    <a:schemeClr val="bg1"/>
                  </a:solidFill>
                  <a:effectLst/>
                  <a:latin typeface="Calibri" panose="020F0502020204030204" pitchFamily="34" charset="0"/>
                  <a:ea typeface="Calibri" panose="020F0502020204030204" pitchFamily="34" charset="0"/>
                  <a:cs typeface="Calibri" panose="020F0502020204030204" pitchFamily="34" charset="0"/>
                </a:rPr>
                <a:t>TOTAL</a:t>
              </a:r>
              <a:r>
                <a:rPr lang="en-US" sz="1800" b="1" cap="none" spc="0">
                  <a:ln w="0">
                    <a:noFill/>
                  </a:ln>
                  <a:solidFill>
                    <a:schemeClr val="bg1"/>
                  </a:solidFill>
                  <a:effectLst/>
                </a:rPr>
                <a:t> ORDERS </a:t>
              </a:r>
            </a:p>
          </xdr:txBody>
        </xdr:sp>
        <xdr:sp macro="" textlink="KPI_Pivot!$C$4">
          <xdr:nvSpPr>
            <xdr:cNvPr id="24" name="TextBox 23">
              <a:extLst>
                <a:ext uri="{FF2B5EF4-FFF2-40B4-BE49-F238E27FC236}">
                  <a16:creationId xmlns:a16="http://schemas.microsoft.com/office/drawing/2014/main" id="{DCB415FF-1878-AFCD-FF14-DB2EF3A7420A}"/>
                </a:ext>
              </a:extLst>
            </xdr:cNvPr>
            <xdr:cNvSpPr txBox="1"/>
          </xdr:nvSpPr>
          <xdr:spPr>
            <a:xfrm>
              <a:off x="8694876" y="1347422"/>
              <a:ext cx="1588459" cy="222298"/>
            </a:xfrm>
            <a:prstGeom prst="rect">
              <a:avLst/>
            </a:prstGeom>
            <a:no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3E6A3B-B6F3-4A36-9C72-2879D6CD761B}" type="TxLink">
                <a:rPr lang="en-US" sz="1600" b="1" i="0" u="none" strike="noStrike" cap="none" spc="0">
                  <a:ln w="0"/>
                  <a:solidFill>
                    <a:schemeClr val="bg1"/>
                  </a:solidFill>
                  <a:effectLst/>
                  <a:latin typeface="Calibri" panose="020F0502020204030204" pitchFamily="34" charset="0"/>
                  <a:ea typeface="Calibri" panose="020F0502020204030204" pitchFamily="34" charset="0"/>
                  <a:cs typeface="Calibri" panose="020F0502020204030204" pitchFamily="34" charset="0"/>
                </a:rPr>
                <a:pPr marL="0" indent="0" algn="ctr"/>
                <a:t>61</a:t>
              </a:fld>
              <a:endParaRPr lang="en-US" sz="1600" b="1" i="0" u="none" strike="noStrike" cap="none" spc="0">
                <a:ln w="0"/>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grpSp>
      <xdr:grpSp>
        <xdr:nvGrpSpPr>
          <xdr:cNvPr id="6147" name="Group 6146">
            <a:extLst>
              <a:ext uri="{FF2B5EF4-FFF2-40B4-BE49-F238E27FC236}">
                <a16:creationId xmlns:a16="http://schemas.microsoft.com/office/drawing/2014/main" id="{F4E81E20-32FD-9C7E-9A29-99D54E347E01}"/>
              </a:ext>
            </a:extLst>
          </xdr:cNvPr>
          <xdr:cNvGrpSpPr/>
        </xdr:nvGrpSpPr>
        <xdr:grpSpPr>
          <a:xfrm>
            <a:off x="2521999" y="1032510"/>
            <a:ext cx="2020824" cy="603504"/>
            <a:chOff x="2880139" y="1032510"/>
            <a:chExt cx="2020824" cy="603504"/>
          </a:xfrm>
        </xdr:grpSpPr>
        <xdr:sp macro="" textlink="">
          <xdr:nvSpPr>
            <xdr:cNvPr id="30" name="Rectangle: Rounded Corners 29">
              <a:extLst>
                <a:ext uri="{FF2B5EF4-FFF2-40B4-BE49-F238E27FC236}">
                  <a16:creationId xmlns:a16="http://schemas.microsoft.com/office/drawing/2014/main" id="{28580DA4-4E65-9E72-A056-9D6E2DF47311}"/>
                </a:ext>
              </a:extLst>
            </xdr:cNvPr>
            <xdr:cNvSpPr/>
          </xdr:nvSpPr>
          <xdr:spPr>
            <a:xfrm>
              <a:off x="2880139" y="1032510"/>
              <a:ext cx="2020824" cy="603504"/>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path path="circle">
                <a:fillToRect l="100000" t="100000"/>
              </a:path>
              <a:tileRect r="-100000" b="-100000"/>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chemeClr val="lt1"/>
                </a:solidFill>
                <a:effectLst/>
                <a:latin typeface="+mn-lt"/>
                <a:ea typeface="+mn-ea"/>
                <a:cs typeface="+mn-cs"/>
              </a:endParaRPr>
            </a:p>
          </xdr:txBody>
        </xdr:sp>
        <xdr:sp macro="" textlink="">
          <xdr:nvSpPr>
            <xdr:cNvPr id="31" name="TextBox 30">
              <a:extLst>
                <a:ext uri="{FF2B5EF4-FFF2-40B4-BE49-F238E27FC236}">
                  <a16:creationId xmlns:a16="http://schemas.microsoft.com/office/drawing/2014/main" id="{272FA162-DEC1-0F95-4BBB-07E2F9BB3634}"/>
                </a:ext>
              </a:extLst>
            </xdr:cNvPr>
            <xdr:cNvSpPr txBox="1"/>
          </xdr:nvSpPr>
          <xdr:spPr>
            <a:xfrm>
              <a:off x="3095042" y="1089599"/>
              <a:ext cx="1658711" cy="224662"/>
            </a:xfrm>
            <a:prstGeom prst="rect">
              <a:avLst/>
            </a:prstGeom>
            <a:no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cap="none" spc="0">
                  <a:ln w="0">
                    <a:noFill/>
                  </a:ln>
                  <a:solidFill>
                    <a:schemeClr val="bg1"/>
                  </a:solidFill>
                  <a:effectLst/>
                  <a:latin typeface="Calibri" panose="020F0502020204030204" pitchFamily="34" charset="0"/>
                  <a:ea typeface="Calibri" panose="020F0502020204030204" pitchFamily="34" charset="0"/>
                  <a:cs typeface="Calibri" panose="020F0502020204030204" pitchFamily="34" charset="0"/>
                </a:rPr>
                <a:t>TOTAL PROFIT</a:t>
              </a:r>
            </a:p>
          </xdr:txBody>
        </xdr:sp>
        <xdr:sp macro="" textlink="KPI_Pivot!$B$4">
          <xdr:nvSpPr>
            <xdr:cNvPr id="32" name="TextBox 31">
              <a:extLst>
                <a:ext uri="{FF2B5EF4-FFF2-40B4-BE49-F238E27FC236}">
                  <a16:creationId xmlns:a16="http://schemas.microsoft.com/office/drawing/2014/main" id="{D069CF68-6BBD-DC25-6EA2-DDC07D6B02AF}"/>
                </a:ext>
              </a:extLst>
            </xdr:cNvPr>
            <xdr:cNvSpPr txBox="1"/>
          </xdr:nvSpPr>
          <xdr:spPr>
            <a:xfrm>
              <a:off x="3087518" y="1377124"/>
              <a:ext cx="1597560" cy="171801"/>
            </a:xfrm>
            <a:prstGeom prst="rect">
              <a:avLst/>
            </a:prstGeom>
            <a:no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C8BA3B-933C-4A20-B1E1-1E9F32C894F0}" type="TxLink">
                <a:rPr lang="en-US" sz="1600" b="1" i="0" u="none" strike="noStrike" cap="none" spc="0">
                  <a:ln w="0"/>
                  <a:solidFill>
                    <a:schemeClr val="bg1"/>
                  </a:solidFill>
                  <a:effectLst/>
                  <a:latin typeface="Calibri" panose="020F0502020204030204" pitchFamily="34" charset="0"/>
                  <a:ea typeface="Calibri" panose="020F0502020204030204" pitchFamily="34" charset="0"/>
                  <a:cs typeface="Calibri" panose="020F0502020204030204" pitchFamily="34" charset="0"/>
                </a:rPr>
                <a:pPr marL="0" indent="0" algn="ctr"/>
                <a:t>$26,326.50</a:t>
              </a:fld>
              <a:endParaRPr lang="en-US" sz="1600" b="1" i="0" u="none" strike="noStrike" cap="none" spc="0">
                <a:ln w="0"/>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grpSp>
      <xdr:grpSp>
        <xdr:nvGrpSpPr>
          <xdr:cNvPr id="6148" name="Group 6147">
            <a:extLst>
              <a:ext uri="{FF2B5EF4-FFF2-40B4-BE49-F238E27FC236}">
                <a16:creationId xmlns:a16="http://schemas.microsoft.com/office/drawing/2014/main" id="{FD3391BB-333F-2EEA-AFC0-C9266EE33526}"/>
              </a:ext>
            </a:extLst>
          </xdr:cNvPr>
          <xdr:cNvGrpSpPr/>
        </xdr:nvGrpSpPr>
        <xdr:grpSpPr>
          <a:xfrm>
            <a:off x="4632334" y="1062990"/>
            <a:ext cx="2017842" cy="603504"/>
            <a:chOff x="5546734" y="1062990"/>
            <a:chExt cx="2017842" cy="603504"/>
          </a:xfrm>
        </xdr:grpSpPr>
        <xdr:sp macro="" textlink="">
          <xdr:nvSpPr>
            <xdr:cNvPr id="34" name="Rectangle: Rounded Corners 33">
              <a:extLst>
                <a:ext uri="{FF2B5EF4-FFF2-40B4-BE49-F238E27FC236}">
                  <a16:creationId xmlns:a16="http://schemas.microsoft.com/office/drawing/2014/main" id="{BED3A89D-574E-5257-C650-9F09D333C627}"/>
                </a:ext>
              </a:extLst>
            </xdr:cNvPr>
            <xdr:cNvSpPr/>
          </xdr:nvSpPr>
          <xdr:spPr>
            <a:xfrm>
              <a:off x="5546734" y="1062990"/>
              <a:ext cx="2017842" cy="603504"/>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path path="circle">
                <a:fillToRect l="100000" t="100000"/>
              </a:path>
              <a:tileRect r="-100000" b="-100000"/>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35" name="TextBox 34">
              <a:extLst>
                <a:ext uri="{FF2B5EF4-FFF2-40B4-BE49-F238E27FC236}">
                  <a16:creationId xmlns:a16="http://schemas.microsoft.com/office/drawing/2014/main" id="{17D3D7DB-75A4-9FE0-1449-9E5F159210ED}"/>
                </a:ext>
              </a:extLst>
            </xdr:cNvPr>
            <xdr:cNvSpPr txBox="1"/>
          </xdr:nvSpPr>
          <xdr:spPr>
            <a:xfrm>
              <a:off x="5608671" y="1113650"/>
              <a:ext cx="1907135" cy="224662"/>
            </a:xfrm>
            <a:prstGeom prst="rect">
              <a:avLst/>
            </a:prstGeom>
            <a:no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cap="none" spc="0">
                  <a:ln w="0">
                    <a:noFill/>
                  </a:ln>
                  <a:solidFill>
                    <a:schemeClr val="bg1"/>
                  </a:solidFill>
                  <a:effectLst/>
                  <a:latin typeface="Calibri" panose="020F0502020204030204" pitchFamily="34" charset="0"/>
                  <a:ea typeface="Calibri" panose="020F0502020204030204" pitchFamily="34" charset="0"/>
                  <a:cs typeface="Calibri" panose="020F0502020204030204" pitchFamily="34" charset="0"/>
                </a:rPr>
                <a:t>PROFIT</a:t>
              </a:r>
              <a:r>
                <a:rPr lang="en-US" sz="1800" b="1" cap="none" spc="0">
                  <a:ln w="0">
                    <a:noFill/>
                  </a:ln>
                  <a:solidFill>
                    <a:schemeClr val="bg1"/>
                  </a:solidFill>
                  <a:effectLst/>
                </a:rPr>
                <a:t> MARGIN %</a:t>
              </a:r>
            </a:p>
          </xdr:txBody>
        </xdr:sp>
        <xdr:sp macro="" textlink="$U$4">
          <xdr:nvSpPr>
            <xdr:cNvPr id="36" name="TextBox 35">
              <a:extLst>
                <a:ext uri="{FF2B5EF4-FFF2-40B4-BE49-F238E27FC236}">
                  <a16:creationId xmlns:a16="http://schemas.microsoft.com/office/drawing/2014/main" id="{FFA1E2A7-7B99-474C-B21C-7D4F937F2A5B}"/>
                </a:ext>
              </a:extLst>
            </xdr:cNvPr>
            <xdr:cNvSpPr txBox="1"/>
          </xdr:nvSpPr>
          <xdr:spPr>
            <a:xfrm>
              <a:off x="5731439" y="1392363"/>
              <a:ext cx="1597560" cy="171800"/>
            </a:xfrm>
            <a:prstGeom prst="rect">
              <a:avLst/>
            </a:prstGeom>
            <a:no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00303B-E4E0-4E3C-A8C5-C9214EA8A991}" type="TxLink">
                <a:rPr lang="en-US" sz="1600" b="1" i="0" u="none" strike="noStrike" cap="none" spc="0">
                  <a:ln w="0"/>
                  <a:solidFill>
                    <a:schemeClr val="bg1"/>
                  </a:solidFill>
                  <a:effectLst/>
                  <a:latin typeface="Calibri" panose="020F0502020204030204" pitchFamily="34" charset="0"/>
                  <a:ea typeface="Calibri" panose="020F0502020204030204" pitchFamily="34" charset="0"/>
                  <a:cs typeface="Calibri" panose="020F0502020204030204" pitchFamily="34" charset="0"/>
                </a:rPr>
                <a:pPr marL="0" indent="0" algn="ctr"/>
                <a:t>30.00%</a:t>
              </a:fld>
              <a:endParaRPr lang="en-US" sz="1600" b="1" i="0" u="none" strike="noStrike" cap="none" spc="0">
                <a:ln w="0"/>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grpSp>
    </xdr:grpSp>
    <xdr:clientData/>
  </xdr:twoCellAnchor>
  <xdr:twoCellAnchor editAs="absolute">
    <xdr:from>
      <xdr:col>0</xdr:col>
      <xdr:colOff>68580</xdr:colOff>
      <xdr:row>0</xdr:row>
      <xdr:rowOff>60960</xdr:rowOff>
    </xdr:from>
    <xdr:to>
      <xdr:col>25</xdr:col>
      <xdr:colOff>83820</xdr:colOff>
      <xdr:row>5</xdr:row>
      <xdr:rowOff>7620</xdr:rowOff>
    </xdr:to>
    <xdr:sp macro="" textlink="">
      <xdr:nvSpPr>
        <xdr:cNvPr id="39" name="Rectangle: Rounded Corners 38">
          <a:extLst>
            <a:ext uri="{FF2B5EF4-FFF2-40B4-BE49-F238E27FC236}">
              <a16:creationId xmlns:a16="http://schemas.microsoft.com/office/drawing/2014/main" id="{03103511-3219-3D8C-9C3B-E13D64582929}"/>
            </a:ext>
          </a:extLst>
        </xdr:cNvPr>
        <xdr:cNvSpPr/>
      </xdr:nvSpPr>
      <xdr:spPr>
        <a:xfrm>
          <a:off x="68580" y="60960"/>
          <a:ext cx="14036040" cy="861060"/>
        </a:xfrm>
        <a:prstGeom prst="roundRect">
          <a:avLst/>
        </a:prstGeom>
        <a:gradFill>
          <a:gsLst>
            <a:gs pos="0">
              <a:schemeClr val="tx2">
                <a:lumMod val="50000"/>
                <a:lumOff val="50000"/>
              </a:schemeClr>
            </a:gs>
            <a:gs pos="50000">
              <a:srgbClr val="0070C0">
                <a:shade val="67500"/>
                <a:satMod val="115000"/>
              </a:srgbClr>
            </a:gs>
            <a:gs pos="100000">
              <a:srgbClr val="0070C0">
                <a:shade val="100000"/>
                <a:satMod val="115000"/>
              </a:srgbClr>
            </a:gs>
          </a:gsLst>
          <a:path path="circle">
            <a:fillToRect l="100000" t="100000"/>
          </a:path>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latin typeface="Calibri" panose="020F0502020204030204" pitchFamily="34" charset="0"/>
              <a:ea typeface="Calibri" panose="020F0502020204030204" pitchFamily="34" charset="0"/>
              <a:cs typeface="Calibri" panose="020F0502020204030204" pitchFamily="34" charset="0"/>
            </a:rPr>
            <a:t>Company Sales &amp; Profit KPI Dashboard</a:t>
          </a:r>
          <a:endParaRPr lang="en-US" sz="3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83820</xdr:colOff>
      <xdr:row>25</xdr:row>
      <xdr:rowOff>175260</xdr:rowOff>
    </xdr:from>
    <xdr:to>
      <xdr:col>14</xdr:col>
      <xdr:colOff>198120</xdr:colOff>
      <xdr:row>40</xdr:row>
      <xdr:rowOff>68580</xdr:rowOff>
    </xdr:to>
    <xdr:grpSp>
      <xdr:nvGrpSpPr>
        <xdr:cNvPr id="49" name="Group 48">
          <a:extLst>
            <a:ext uri="{FF2B5EF4-FFF2-40B4-BE49-F238E27FC236}">
              <a16:creationId xmlns:a16="http://schemas.microsoft.com/office/drawing/2014/main" id="{F5A64215-205C-8599-12C9-63BCF24A7C96}"/>
            </a:ext>
          </a:extLst>
        </xdr:cNvPr>
        <xdr:cNvGrpSpPr/>
      </xdr:nvGrpSpPr>
      <xdr:grpSpPr>
        <a:xfrm>
          <a:off x="83820" y="4747260"/>
          <a:ext cx="8648700" cy="2636520"/>
          <a:chOff x="114300" y="4564380"/>
          <a:chExt cx="6842760" cy="2621280"/>
        </a:xfrm>
      </xdr:grpSpPr>
      <xdr:sp macro="" textlink="">
        <xdr:nvSpPr>
          <xdr:cNvPr id="45" name="Rectangle: Rounded Corners 44">
            <a:extLst>
              <a:ext uri="{FF2B5EF4-FFF2-40B4-BE49-F238E27FC236}">
                <a16:creationId xmlns:a16="http://schemas.microsoft.com/office/drawing/2014/main" id="{DB5A95A7-7A0E-7041-10F2-30BC9C708870}"/>
              </a:ext>
            </a:extLst>
          </xdr:cNvPr>
          <xdr:cNvSpPr/>
        </xdr:nvSpPr>
        <xdr:spPr>
          <a:xfrm>
            <a:off x="114300" y="4564380"/>
            <a:ext cx="6842760" cy="2621280"/>
          </a:xfrm>
          <a:prstGeom prst="roundRect">
            <a:avLst/>
          </a:prstGeom>
          <a:gradFill>
            <a:gsLst>
              <a:gs pos="0">
                <a:schemeClr val="tx2">
                  <a:lumMod val="50000"/>
                  <a:lumOff val="50000"/>
                </a:schemeClr>
              </a:gs>
              <a:gs pos="50000">
                <a:srgbClr val="0070C0">
                  <a:shade val="67500"/>
                  <a:satMod val="115000"/>
                </a:srgbClr>
              </a:gs>
              <a:gs pos="100000">
                <a:srgbClr val="0070C0">
                  <a:shade val="100000"/>
                  <a:satMod val="115000"/>
                </a:srgbClr>
              </a:gs>
            </a:gsLst>
            <a:path path="circle">
              <a:fillToRect l="100000" t="100000"/>
            </a:path>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lt1"/>
                </a:solidFill>
                <a:effectLst>
                  <a:outerShdw blurRad="38100" dist="25400" dir="5400000" algn="ctr" rotWithShape="0">
                    <a:srgbClr val="6E747A">
                      <a:alpha val="43000"/>
                    </a:srgbClr>
                  </a:outerShdw>
                </a:effectLst>
                <a:latin typeface="Calibri" panose="020F0502020204030204" pitchFamily="34" charset="0"/>
                <a:ea typeface="Calibri" panose="020F0502020204030204" pitchFamily="34" charset="0"/>
                <a:cs typeface="Calibri" panose="020F0502020204030204" pitchFamily="34" charset="0"/>
              </a:rPr>
              <a:t>Sales by Salesperson</a:t>
            </a:r>
            <a:endParaRPr lang="en-US" sz="1800" b="1">
              <a:effectLst/>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800" b="1">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graphicFrame macro="">
        <xdr:nvGraphicFramePr>
          <xdr:cNvPr id="2" name="Chart 1">
            <a:extLst>
              <a:ext uri="{FF2B5EF4-FFF2-40B4-BE49-F238E27FC236}">
                <a16:creationId xmlns:a16="http://schemas.microsoft.com/office/drawing/2014/main" id="{69FDD584-BDD6-4AFB-82CE-90DFD9FDF63F}"/>
              </a:ext>
            </a:extLst>
          </xdr:cNvPr>
          <xdr:cNvGraphicFramePr>
            <a:graphicFrameLocks/>
          </xdr:cNvGraphicFramePr>
        </xdr:nvGraphicFramePr>
        <xdr:xfrm>
          <a:off x="259080" y="5044440"/>
          <a:ext cx="6141720" cy="21336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absolute">
    <xdr:from>
      <xdr:col>14</xdr:col>
      <xdr:colOff>289560</xdr:colOff>
      <xdr:row>26</xdr:row>
      <xdr:rowOff>38100</xdr:rowOff>
    </xdr:from>
    <xdr:to>
      <xdr:col>25</xdr:col>
      <xdr:colOff>119743</xdr:colOff>
      <xdr:row>40</xdr:row>
      <xdr:rowOff>106680</xdr:rowOff>
    </xdr:to>
    <xdr:grpSp>
      <xdr:nvGrpSpPr>
        <xdr:cNvPr id="48" name="Group 47">
          <a:extLst>
            <a:ext uri="{FF2B5EF4-FFF2-40B4-BE49-F238E27FC236}">
              <a16:creationId xmlns:a16="http://schemas.microsoft.com/office/drawing/2014/main" id="{3629845E-0C4A-FBC8-6E69-3911F1C6E7A4}"/>
            </a:ext>
          </a:extLst>
        </xdr:cNvPr>
        <xdr:cNvGrpSpPr/>
      </xdr:nvGrpSpPr>
      <xdr:grpSpPr>
        <a:xfrm>
          <a:off x="8823960" y="4792980"/>
          <a:ext cx="5316583" cy="2628900"/>
          <a:chOff x="5767467" y="3000401"/>
          <a:chExt cx="4011320" cy="2261107"/>
        </a:xfrm>
      </xdr:grpSpPr>
      <xdr:sp macro="" textlink="">
        <xdr:nvSpPr>
          <xdr:cNvPr id="47" name="Rectangle: Rounded Corners 46">
            <a:extLst>
              <a:ext uri="{FF2B5EF4-FFF2-40B4-BE49-F238E27FC236}">
                <a16:creationId xmlns:a16="http://schemas.microsoft.com/office/drawing/2014/main" id="{68AF43D2-0C64-44DC-B1F4-786EC6C48432}"/>
              </a:ext>
            </a:extLst>
          </xdr:cNvPr>
          <xdr:cNvSpPr/>
        </xdr:nvSpPr>
        <xdr:spPr>
          <a:xfrm>
            <a:off x="5767467" y="3000401"/>
            <a:ext cx="4011320" cy="2209800"/>
          </a:xfrm>
          <a:prstGeom prst="roundRect">
            <a:avLst/>
          </a:prstGeom>
          <a:gradFill>
            <a:gsLst>
              <a:gs pos="0">
                <a:schemeClr val="tx2">
                  <a:lumMod val="50000"/>
                  <a:lumOff val="50000"/>
                </a:schemeClr>
              </a:gs>
              <a:gs pos="50000">
                <a:srgbClr val="0070C0">
                  <a:shade val="67500"/>
                  <a:satMod val="115000"/>
                </a:srgbClr>
              </a:gs>
              <a:gs pos="100000">
                <a:srgbClr val="0070C0">
                  <a:shade val="100000"/>
                  <a:satMod val="115000"/>
                </a:srgbClr>
              </a:gs>
            </a:gsLst>
            <a:path path="circle">
              <a:fillToRect l="100000" t="100000"/>
            </a:path>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800" b="1" i="0" baseline="0">
                <a:solidFill>
                  <a:schemeClr val="lt1"/>
                </a:solidFill>
                <a:effectLst>
                  <a:outerShdw blurRad="38100" dist="25400" dir="5400000" algn="ctr" rotWithShape="0">
                    <a:srgbClr val="6E747A">
                      <a:alpha val="43000"/>
                    </a:srgbClr>
                  </a:outerShdw>
                </a:effectLst>
                <a:latin typeface="Calibri" panose="020F0502020204030204" pitchFamily="34" charset="0"/>
                <a:ea typeface="Calibri" panose="020F0502020204030204" pitchFamily="34" charset="0"/>
                <a:cs typeface="Calibri" panose="020F0502020204030204" pitchFamily="34" charset="0"/>
              </a:rPr>
              <a:t>Sales and Profit by Product</a:t>
            </a:r>
            <a:endParaRPr lang="en-US" sz="1800">
              <a:effectLst/>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800" b="1">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graphicFrame macro="">
        <xdr:nvGraphicFramePr>
          <xdr:cNvPr id="3" name="Chart 2">
            <a:extLst>
              <a:ext uri="{FF2B5EF4-FFF2-40B4-BE49-F238E27FC236}">
                <a16:creationId xmlns:a16="http://schemas.microsoft.com/office/drawing/2014/main" id="{8905A880-8A72-48C3-A38B-6B1EC4B62D11}"/>
              </a:ext>
            </a:extLst>
          </xdr:cNvPr>
          <xdr:cNvGraphicFramePr>
            <a:graphicFrameLocks/>
          </xdr:cNvGraphicFramePr>
        </xdr:nvGraphicFramePr>
        <xdr:xfrm>
          <a:off x="5871282" y="3486048"/>
          <a:ext cx="3779520" cy="177546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22</xdr:col>
      <xdr:colOff>350520</xdr:colOff>
      <xdr:row>5</xdr:row>
      <xdr:rowOff>53340</xdr:rowOff>
    </xdr:from>
    <xdr:to>
      <xdr:col>25</xdr:col>
      <xdr:colOff>91440</xdr:colOff>
      <xdr:row>16</xdr:row>
      <xdr:rowOff>172212</xdr:rowOff>
    </xdr:to>
    <xdr:grpSp>
      <xdr:nvGrpSpPr>
        <xdr:cNvPr id="56" name="Group 55">
          <a:extLst>
            <a:ext uri="{FF2B5EF4-FFF2-40B4-BE49-F238E27FC236}">
              <a16:creationId xmlns:a16="http://schemas.microsoft.com/office/drawing/2014/main" id="{56245DE2-4F35-AA75-7CD7-B23FBDF84F0F}"/>
            </a:ext>
          </a:extLst>
        </xdr:cNvPr>
        <xdr:cNvGrpSpPr/>
      </xdr:nvGrpSpPr>
      <xdr:grpSpPr>
        <a:xfrm>
          <a:off x="12542520" y="967740"/>
          <a:ext cx="1569720" cy="2130552"/>
          <a:chOff x="8564880" y="1874520"/>
          <a:chExt cx="1219200" cy="2209800"/>
        </a:xfrm>
      </xdr:grpSpPr>
      <xdr:sp macro="" textlink="">
        <xdr:nvSpPr>
          <xdr:cNvPr id="52" name="Rectangle: Rounded Corners 51">
            <a:extLst>
              <a:ext uri="{FF2B5EF4-FFF2-40B4-BE49-F238E27FC236}">
                <a16:creationId xmlns:a16="http://schemas.microsoft.com/office/drawing/2014/main" id="{A6AF09B5-9340-AD19-4035-4F626487AC8C}"/>
              </a:ext>
            </a:extLst>
          </xdr:cNvPr>
          <xdr:cNvSpPr/>
        </xdr:nvSpPr>
        <xdr:spPr>
          <a:xfrm>
            <a:off x="8564880" y="1874520"/>
            <a:ext cx="1219200" cy="2209800"/>
          </a:xfrm>
          <a:prstGeom prst="roundRect">
            <a:avLst/>
          </a:prstGeom>
          <a:gradFill>
            <a:gsLst>
              <a:gs pos="0">
                <a:schemeClr val="tx2">
                  <a:lumMod val="50000"/>
                  <a:lumOff val="50000"/>
                </a:schemeClr>
              </a:gs>
              <a:gs pos="50000">
                <a:srgbClr val="0070C0">
                  <a:shade val="67500"/>
                  <a:satMod val="115000"/>
                </a:srgbClr>
              </a:gs>
              <a:gs pos="100000">
                <a:srgbClr val="0070C0">
                  <a:shade val="100000"/>
                  <a:satMod val="115000"/>
                </a:srgbClr>
              </a:gs>
            </a:gsLst>
            <a:path path="circle">
              <a:fillToRect l="100000" t="100000"/>
            </a:path>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a:solidFill>
                  <a:schemeClr val="lt1"/>
                </a:solidFill>
                <a:latin typeface="Calibri" panose="020F0502020204030204" pitchFamily="34" charset="0"/>
                <a:ea typeface="Calibri" panose="020F0502020204030204" pitchFamily="34" charset="0"/>
                <a:cs typeface="Calibri" panose="020F0502020204030204" pitchFamily="34" charset="0"/>
              </a:rPr>
              <a:t>REGION</a:t>
            </a:r>
          </a:p>
        </xdr:txBody>
      </xdr:sp>
      <mc:AlternateContent xmlns:mc="http://schemas.openxmlformats.org/markup-compatibility/2006">
        <mc:Choice xmlns:a14="http://schemas.microsoft.com/office/drawing/2010/main" Requires="a14">
          <xdr:graphicFrame macro="">
            <xdr:nvGraphicFramePr>
              <xdr:cNvPr id="51" name="Region">
                <a:extLst>
                  <a:ext uri="{FF2B5EF4-FFF2-40B4-BE49-F238E27FC236}">
                    <a16:creationId xmlns:a16="http://schemas.microsoft.com/office/drawing/2014/main" id="{DC3F60FB-4CDA-40DD-9CB4-7CFED3173B04}"/>
                  </a:ext>
                </a:extLst>
              </xdr:cNvPr>
              <xdr:cNvGraphicFramePr/>
            </xdr:nvGraphicFramePr>
            <xdr:xfrm>
              <a:off x="8656320" y="2247901"/>
              <a:ext cx="1021080" cy="1569719"/>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60249" y="1327731"/>
                <a:ext cx="1314641" cy="1513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449580</xdr:colOff>
      <xdr:row>5</xdr:row>
      <xdr:rowOff>76200</xdr:rowOff>
    </xdr:from>
    <xdr:to>
      <xdr:col>22</xdr:col>
      <xdr:colOff>304800</xdr:colOff>
      <xdr:row>17</xdr:row>
      <xdr:rowOff>12192</xdr:rowOff>
    </xdr:to>
    <xdr:grpSp>
      <xdr:nvGrpSpPr>
        <xdr:cNvPr id="58" name="Group 57">
          <a:extLst>
            <a:ext uri="{FF2B5EF4-FFF2-40B4-BE49-F238E27FC236}">
              <a16:creationId xmlns:a16="http://schemas.microsoft.com/office/drawing/2014/main" id="{0AA702DB-EC55-0DC7-0095-F02A8E0EA8E1}"/>
            </a:ext>
          </a:extLst>
        </xdr:cNvPr>
        <xdr:cNvGrpSpPr/>
      </xdr:nvGrpSpPr>
      <xdr:grpSpPr>
        <a:xfrm>
          <a:off x="10812780" y="990600"/>
          <a:ext cx="1684020" cy="2130552"/>
          <a:chOff x="9867900" y="1912620"/>
          <a:chExt cx="1386840" cy="2103120"/>
        </a:xfrm>
      </xdr:grpSpPr>
      <xdr:sp macro="" textlink="">
        <xdr:nvSpPr>
          <xdr:cNvPr id="53" name="Rectangle: Rounded Corners 52">
            <a:extLst>
              <a:ext uri="{FF2B5EF4-FFF2-40B4-BE49-F238E27FC236}">
                <a16:creationId xmlns:a16="http://schemas.microsoft.com/office/drawing/2014/main" id="{1F6FDA91-634D-4E6F-B118-E433681D5D3B}"/>
              </a:ext>
            </a:extLst>
          </xdr:cNvPr>
          <xdr:cNvSpPr/>
        </xdr:nvSpPr>
        <xdr:spPr>
          <a:xfrm>
            <a:off x="9867900" y="1912620"/>
            <a:ext cx="1386840" cy="2103120"/>
          </a:xfrm>
          <a:prstGeom prst="roundRect">
            <a:avLst/>
          </a:prstGeom>
          <a:gradFill>
            <a:gsLst>
              <a:gs pos="0">
                <a:schemeClr val="tx2">
                  <a:lumMod val="50000"/>
                  <a:lumOff val="50000"/>
                </a:schemeClr>
              </a:gs>
              <a:gs pos="50000">
                <a:srgbClr val="0070C0">
                  <a:shade val="67500"/>
                  <a:satMod val="115000"/>
                </a:srgbClr>
              </a:gs>
              <a:gs pos="100000">
                <a:srgbClr val="0070C0">
                  <a:shade val="100000"/>
                  <a:satMod val="115000"/>
                </a:srgbClr>
              </a:gs>
            </a:gsLst>
            <a:path path="circle">
              <a:fillToRect l="100000" t="100000"/>
            </a:path>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Calibri" panose="020F0502020204030204" pitchFamily="34" charset="0"/>
                <a:ea typeface="Calibri" panose="020F0502020204030204" pitchFamily="34" charset="0"/>
                <a:cs typeface="Calibri" panose="020F0502020204030204" pitchFamily="34" charset="0"/>
              </a:rPr>
              <a:t>PRODUCT</a:t>
            </a:r>
            <a:endParaRPr lang="en-US" sz="1600" b="1">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mc:AlternateContent xmlns:mc="http://schemas.openxmlformats.org/markup-compatibility/2006">
        <mc:Choice xmlns:a14="http://schemas.microsoft.com/office/drawing/2010/main" Requires="a14">
          <xdr:graphicFrame macro="">
            <xdr:nvGraphicFramePr>
              <xdr:cNvPr id="54" name="Product 1">
                <a:extLst>
                  <a:ext uri="{FF2B5EF4-FFF2-40B4-BE49-F238E27FC236}">
                    <a16:creationId xmlns:a16="http://schemas.microsoft.com/office/drawing/2014/main" id="{8CB054D7-94D4-4E6B-BE57-3F038D2EF6DA}"/>
                  </a:ext>
                </a:extLst>
              </xdr:cNvPr>
              <xdr:cNvGraphicFramePr/>
            </xdr:nvGraphicFramePr>
            <xdr:xfrm>
              <a:off x="10005060" y="2263141"/>
              <a:ext cx="1165860" cy="1554479"/>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979331" y="1345693"/>
                <a:ext cx="1415687" cy="1574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14</xdr:col>
      <xdr:colOff>304800</xdr:colOff>
      <xdr:row>5</xdr:row>
      <xdr:rowOff>76200</xdr:rowOff>
    </xdr:from>
    <xdr:to>
      <xdr:col>17</xdr:col>
      <xdr:colOff>381000</xdr:colOff>
      <xdr:row>17</xdr:row>
      <xdr:rowOff>7620</xdr:rowOff>
    </xdr:to>
    <xdr:grpSp>
      <xdr:nvGrpSpPr>
        <xdr:cNvPr id="59" name="Group 58">
          <a:extLst>
            <a:ext uri="{FF2B5EF4-FFF2-40B4-BE49-F238E27FC236}">
              <a16:creationId xmlns:a16="http://schemas.microsoft.com/office/drawing/2014/main" id="{348EDD0D-5010-8108-5011-68897663D02B}"/>
            </a:ext>
          </a:extLst>
        </xdr:cNvPr>
        <xdr:cNvGrpSpPr/>
      </xdr:nvGrpSpPr>
      <xdr:grpSpPr>
        <a:xfrm>
          <a:off x="8839200" y="990600"/>
          <a:ext cx="1905000" cy="2125980"/>
          <a:chOff x="8374380" y="1935480"/>
          <a:chExt cx="1684020" cy="2423160"/>
        </a:xfrm>
      </xdr:grpSpPr>
      <xdr:sp macro="" textlink="">
        <xdr:nvSpPr>
          <xdr:cNvPr id="57" name="Rectangle: Rounded Corners 56">
            <a:extLst>
              <a:ext uri="{FF2B5EF4-FFF2-40B4-BE49-F238E27FC236}">
                <a16:creationId xmlns:a16="http://schemas.microsoft.com/office/drawing/2014/main" id="{71A78547-49D6-4947-8D77-B292E9184B20}"/>
              </a:ext>
            </a:extLst>
          </xdr:cNvPr>
          <xdr:cNvSpPr/>
        </xdr:nvSpPr>
        <xdr:spPr>
          <a:xfrm>
            <a:off x="8374380" y="1935480"/>
            <a:ext cx="1684020" cy="2423160"/>
          </a:xfrm>
          <a:prstGeom prst="roundRect">
            <a:avLst/>
          </a:prstGeom>
          <a:gradFill>
            <a:gsLst>
              <a:gs pos="0">
                <a:schemeClr val="tx2">
                  <a:lumMod val="50000"/>
                  <a:lumOff val="50000"/>
                </a:schemeClr>
              </a:gs>
              <a:gs pos="50000">
                <a:srgbClr val="0070C0">
                  <a:shade val="67500"/>
                  <a:satMod val="115000"/>
                </a:srgbClr>
              </a:gs>
              <a:gs pos="100000">
                <a:srgbClr val="0070C0">
                  <a:shade val="100000"/>
                  <a:satMod val="115000"/>
                </a:srgbClr>
              </a:gs>
            </a:gsLst>
            <a:path path="circle">
              <a:fillToRect l="100000" t="100000"/>
            </a:path>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a:solidFill>
                  <a:schemeClr val="lt1"/>
                </a:solidFill>
                <a:latin typeface="Calibri" panose="020F0502020204030204" pitchFamily="34" charset="0"/>
                <a:ea typeface="Calibri" panose="020F0502020204030204" pitchFamily="34" charset="0"/>
                <a:cs typeface="Calibri" panose="020F0502020204030204" pitchFamily="34" charset="0"/>
              </a:rPr>
              <a:t>SALESPERSON</a:t>
            </a:r>
          </a:p>
        </xdr:txBody>
      </xdr:sp>
      <mc:AlternateContent xmlns:mc="http://schemas.openxmlformats.org/markup-compatibility/2006">
        <mc:Choice xmlns:a14="http://schemas.microsoft.com/office/drawing/2010/main" Requires="a14">
          <xdr:graphicFrame macro="">
            <xdr:nvGraphicFramePr>
              <xdr:cNvPr id="55" name="Salesperson">
                <a:extLst>
                  <a:ext uri="{FF2B5EF4-FFF2-40B4-BE49-F238E27FC236}">
                    <a16:creationId xmlns:a16="http://schemas.microsoft.com/office/drawing/2014/main" id="{32198B0A-FC9E-4ED1-8E7C-AEA512DE44E1}"/>
                  </a:ext>
                </a:extLst>
              </xdr:cNvPr>
              <xdr:cNvGraphicFramePr/>
            </xdr:nvGraphicFramePr>
            <xdr:xfrm>
              <a:off x="8534400" y="2395795"/>
              <a:ext cx="1409700" cy="1780458"/>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9020218" y="1394461"/>
                <a:ext cx="1594683"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14</xdr:col>
      <xdr:colOff>297181</xdr:colOff>
      <xdr:row>17</xdr:row>
      <xdr:rowOff>68580</xdr:rowOff>
    </xdr:from>
    <xdr:to>
      <xdr:col>25</xdr:col>
      <xdr:colOff>97971</xdr:colOff>
      <xdr:row>25</xdr:row>
      <xdr:rowOff>114300</xdr:rowOff>
    </xdr:to>
    <xdr:grpSp>
      <xdr:nvGrpSpPr>
        <xdr:cNvPr id="6144" name="Group 6143">
          <a:extLst>
            <a:ext uri="{FF2B5EF4-FFF2-40B4-BE49-F238E27FC236}">
              <a16:creationId xmlns:a16="http://schemas.microsoft.com/office/drawing/2014/main" id="{EA616D20-7D0D-41E0-080B-5CFED51DE1E1}"/>
            </a:ext>
          </a:extLst>
        </xdr:cNvPr>
        <xdr:cNvGrpSpPr/>
      </xdr:nvGrpSpPr>
      <xdr:grpSpPr>
        <a:xfrm>
          <a:off x="8831581" y="3177540"/>
          <a:ext cx="5287190" cy="1508760"/>
          <a:chOff x="7338926" y="2734964"/>
          <a:chExt cx="1783080" cy="1706880"/>
        </a:xfrm>
      </xdr:grpSpPr>
      <xdr:sp macro="" textlink="">
        <xdr:nvSpPr>
          <xdr:cNvPr id="62" name="Rectangle: Rounded Corners 61">
            <a:extLst>
              <a:ext uri="{FF2B5EF4-FFF2-40B4-BE49-F238E27FC236}">
                <a16:creationId xmlns:a16="http://schemas.microsoft.com/office/drawing/2014/main" id="{6ABBBD1C-9EDE-5FD2-7F9C-9B566C588760}"/>
              </a:ext>
            </a:extLst>
          </xdr:cNvPr>
          <xdr:cNvSpPr/>
        </xdr:nvSpPr>
        <xdr:spPr>
          <a:xfrm>
            <a:off x="7338926" y="2734964"/>
            <a:ext cx="1783080" cy="1706880"/>
          </a:xfrm>
          <a:prstGeom prst="roundRect">
            <a:avLst/>
          </a:prstGeom>
          <a:gradFill>
            <a:gsLst>
              <a:gs pos="0">
                <a:schemeClr val="tx2">
                  <a:lumMod val="50000"/>
                  <a:lumOff val="50000"/>
                </a:schemeClr>
              </a:gs>
              <a:gs pos="50000">
                <a:srgbClr val="0070C0">
                  <a:shade val="67500"/>
                  <a:satMod val="115000"/>
                </a:srgbClr>
              </a:gs>
              <a:gs pos="100000">
                <a:srgbClr val="0070C0">
                  <a:shade val="100000"/>
                  <a:satMod val="115000"/>
                </a:srgbClr>
              </a:gs>
            </a:gsLst>
            <a:path path="circle">
              <a:fillToRect l="100000" t="100000"/>
            </a:path>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a:solidFill>
                  <a:schemeClr val="lt1"/>
                </a:solidFill>
                <a:latin typeface="Calibri" panose="020F0502020204030204" pitchFamily="34" charset="0"/>
                <a:ea typeface="Calibri" panose="020F0502020204030204" pitchFamily="34" charset="0"/>
                <a:cs typeface="Calibri" panose="020F0502020204030204" pitchFamily="34" charset="0"/>
              </a:rPr>
              <a:t>CUSTOMER TYPE</a:t>
            </a:r>
          </a:p>
        </xdr:txBody>
      </xdr:sp>
      <mc:AlternateContent xmlns:mc="http://schemas.openxmlformats.org/markup-compatibility/2006">
        <mc:Choice xmlns:a14="http://schemas.microsoft.com/office/drawing/2010/main" Requires="a14">
          <xdr:graphicFrame macro="">
            <xdr:nvGraphicFramePr>
              <xdr:cNvPr id="60" name="Customer_Type">
                <a:extLst>
                  <a:ext uri="{FF2B5EF4-FFF2-40B4-BE49-F238E27FC236}">
                    <a16:creationId xmlns:a16="http://schemas.microsoft.com/office/drawing/2014/main" id="{EF0B97F2-7C72-48F2-A06C-D0FAB2CB7E39}"/>
                  </a:ext>
                </a:extLst>
              </xdr:cNvPr>
              <xdr:cNvGraphicFramePr/>
            </xdr:nvGraphicFramePr>
            <xdr:xfrm>
              <a:off x="7994214" y="2829484"/>
              <a:ext cx="986386" cy="1500292"/>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0774641" y="3261089"/>
                <a:ext cx="2924832" cy="1326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vind Goshwami" refreshedDate="46016.985526157405" createdVersion="8" refreshedVersion="8" minRefreshableVersion="3" recordCount="61" xr:uid="{CFE79CB5-E4F9-4799-864C-F362C41EE414}">
  <cacheSource type="worksheet">
    <worksheetSource name="CompanySales"/>
  </cacheSource>
  <cacheFields count="14">
    <cacheField name="Order_Id" numFmtId="1">
      <sharedItems containsSemiMixedTypes="0" containsString="0" containsNumber="1" containsInteger="1" minValue="1001" maxValue="1061"/>
    </cacheField>
    <cacheField name="Date" numFmtId="14">
      <sharedItems containsSemiMixedTypes="0" containsNonDate="0" containsDate="1" containsString="0" minDate="2025-01-01T00:00:00" maxDate="2025-03-21T00:00:00" count="6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sharedItems>
      <fieldGroup par="13"/>
    </cacheField>
    <cacheField name="Month" numFmtId="14">
      <sharedItems/>
    </cacheField>
    <cacheField name="Region" numFmtId="0">
      <sharedItems count="4">
        <s v="North"/>
        <s v="South"/>
        <s v="East"/>
        <s v="West"/>
      </sharedItems>
    </cacheField>
    <cacheField name="Product" numFmtId="0">
      <sharedItems count="4">
        <s v="Laptop"/>
        <s v="Mouse"/>
        <s v="Keyboard"/>
        <s v="Monitor"/>
      </sharedItems>
    </cacheField>
    <cacheField name="Salesperson" numFmtId="0">
      <sharedItems count="25">
        <s v="James"/>
        <s v="Steve"/>
        <s v="Scott"/>
        <s v="Ryan"/>
        <s v="Den"/>
        <s v="Donald"/>
        <s v="David"/>
        <s v="Laura"/>
        <s v="Robert"/>
        <s v="Kevin"/>
        <s v="Brian"/>
        <s v="Nicole"/>
        <s v="John"/>
        <s v="Emma"/>
        <s v="Olivia"/>
        <s v="Michael"/>
        <s v="Emily"/>
        <s v="Daniel"/>
        <s v="Jessica"/>
        <s v="Christopher"/>
        <s v="Amanda"/>
        <s v="Matthew"/>
        <s v="Sarah"/>
        <s v="Andrew"/>
        <s v="Jennifer"/>
      </sharedItems>
    </cacheField>
    <cacheField name="Customer_Type" numFmtId="0">
      <sharedItems count="3">
        <s v="Corporate"/>
        <s v="Retail"/>
        <s v="Online"/>
      </sharedItems>
    </cacheField>
    <cacheField name="Quantity" numFmtId="0">
      <sharedItems containsSemiMixedTypes="0" containsString="0" containsNumber="1" containsInteger="1" minValue="1" maxValue="35"/>
    </cacheField>
    <cacheField name="Price" numFmtId="0">
      <sharedItems containsSemiMixedTypes="0" containsString="0" containsNumber="1" containsInteger="1" minValue="20" maxValue="900"/>
    </cacheField>
    <cacheField name="Sales" numFmtId="0">
      <sharedItems containsSemiMixedTypes="0" containsString="0" containsNumber="1" containsInteger="1" minValue="120" maxValue="22500"/>
    </cacheField>
    <cacheField name="Cost" numFmtId="0">
      <sharedItems containsSemiMixedTypes="0" containsString="0" containsNumber="1" minValue="84" maxValue="15749.999999999998"/>
    </cacheField>
    <cacheField name="Profit" numFmtId="0">
      <sharedItems containsSemiMixedTypes="0" containsString="0" containsNumber="1" minValue="36" maxValue="6750.0000000000018"/>
    </cacheField>
    <cacheField name="Months (Date)" numFmtId="0" databaseField="0">
      <fieldGroup base="1">
        <rangePr groupBy="months" startDate="2025-01-01T00:00:00" endDate="2025-03-21T00:00:00"/>
        <groupItems count="14">
          <s v="&lt;1/1/2025"/>
          <s v="Jan"/>
          <s v="Feb"/>
          <s v="Mar"/>
          <s v="Apr"/>
          <s v="May"/>
          <s v="Jun"/>
          <s v="Jul"/>
          <s v="Aug"/>
          <s v="Sep"/>
          <s v="Oct"/>
          <s v="Nov"/>
          <s v="Dec"/>
          <s v="&gt;3/21/2025"/>
        </groupItems>
      </fieldGroup>
    </cacheField>
    <cacheField name="Years (Date)" numFmtId="0" databaseField="0">
      <fieldGroup base="1">
        <rangePr groupBy="years" startDate="2025-01-01T00:00:00" endDate="2025-03-21T00:00:00"/>
        <groupItems count="3">
          <s v="&lt;1/1/2025"/>
          <s v="2025"/>
          <s v="&gt;3/21/2025"/>
        </groupItems>
      </fieldGroup>
    </cacheField>
  </cacheFields>
  <extLst>
    <ext xmlns:x14="http://schemas.microsoft.com/office/spreadsheetml/2009/9/main" uri="{725AE2AE-9491-48be-B2B4-4EB974FC3084}">
      <x14:pivotCacheDefinition pivotCacheId="1786076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001"/>
    <x v="0"/>
    <s v="Jan-2025"/>
    <x v="0"/>
    <x v="0"/>
    <x v="0"/>
    <x v="0"/>
    <n v="25"/>
    <n v="900"/>
    <n v="22500"/>
    <n v="15749.999999999998"/>
    <n v="6750.0000000000018"/>
  </r>
  <r>
    <n v="1002"/>
    <x v="1"/>
    <s v="Jan-2025"/>
    <x v="1"/>
    <x v="1"/>
    <x v="1"/>
    <x v="1"/>
    <n v="10"/>
    <n v="20"/>
    <n v="200"/>
    <n v="140"/>
    <n v="60"/>
  </r>
  <r>
    <n v="1003"/>
    <x v="2"/>
    <s v="Jan-2025"/>
    <x v="2"/>
    <x v="2"/>
    <x v="2"/>
    <x v="0"/>
    <n v="35"/>
    <n v="45"/>
    <n v="1575"/>
    <n v="1102.5"/>
    <n v="472.5"/>
  </r>
  <r>
    <n v="1004"/>
    <x v="3"/>
    <s v="Jan-2025"/>
    <x v="3"/>
    <x v="3"/>
    <x v="3"/>
    <x v="2"/>
    <n v="2"/>
    <n v="150"/>
    <n v="300"/>
    <n v="210"/>
    <n v="90"/>
  </r>
  <r>
    <n v="1005"/>
    <x v="4"/>
    <s v="Jan-2025"/>
    <x v="0"/>
    <x v="0"/>
    <x v="4"/>
    <x v="1"/>
    <n v="8"/>
    <n v="900"/>
    <n v="7200"/>
    <n v="5040"/>
    <n v="2160"/>
  </r>
  <r>
    <n v="1006"/>
    <x v="5"/>
    <s v="Jan-2025"/>
    <x v="2"/>
    <x v="1"/>
    <x v="5"/>
    <x v="0"/>
    <n v="6"/>
    <n v="20"/>
    <n v="120"/>
    <n v="84"/>
    <n v="36"/>
  </r>
  <r>
    <n v="1007"/>
    <x v="6"/>
    <s v="Jan-2025"/>
    <x v="1"/>
    <x v="3"/>
    <x v="6"/>
    <x v="1"/>
    <n v="13"/>
    <n v="200"/>
    <n v="2600"/>
    <n v="1819.9999999999998"/>
    <n v="780.00000000000023"/>
  </r>
  <r>
    <n v="1008"/>
    <x v="7"/>
    <s v="Jan-2025"/>
    <x v="3"/>
    <x v="2"/>
    <x v="7"/>
    <x v="0"/>
    <n v="4"/>
    <n v="45"/>
    <n v="180"/>
    <n v="125.99999999999999"/>
    <n v="54.000000000000014"/>
  </r>
  <r>
    <n v="1009"/>
    <x v="8"/>
    <s v="Jan-2025"/>
    <x v="0"/>
    <x v="1"/>
    <x v="8"/>
    <x v="2"/>
    <n v="18"/>
    <n v="20"/>
    <n v="360"/>
    <n v="251.99999999999997"/>
    <n v="108.00000000000003"/>
  </r>
  <r>
    <n v="1010"/>
    <x v="9"/>
    <s v="Jan-2025"/>
    <x v="2"/>
    <x v="0"/>
    <x v="9"/>
    <x v="1"/>
    <n v="2"/>
    <n v="900"/>
    <n v="1800"/>
    <n v="1260"/>
    <n v="540"/>
  </r>
  <r>
    <n v="1011"/>
    <x v="10"/>
    <s v="Jan-2025"/>
    <x v="1"/>
    <x v="2"/>
    <x v="10"/>
    <x v="0"/>
    <n v="6"/>
    <n v="45"/>
    <n v="270"/>
    <n v="189"/>
    <n v="81"/>
  </r>
  <r>
    <n v="1012"/>
    <x v="11"/>
    <s v="Jan-2025"/>
    <x v="3"/>
    <x v="3"/>
    <x v="11"/>
    <x v="2"/>
    <n v="1"/>
    <n v="150"/>
    <n v="150"/>
    <n v="105"/>
    <n v="45"/>
  </r>
  <r>
    <n v="1013"/>
    <x v="12"/>
    <s v="Jan-2025"/>
    <x v="0"/>
    <x v="0"/>
    <x v="0"/>
    <x v="1"/>
    <n v="4"/>
    <n v="900"/>
    <n v="3600"/>
    <n v="2520"/>
    <n v="1080"/>
  </r>
  <r>
    <n v="1014"/>
    <x v="13"/>
    <s v="Jan-2025"/>
    <x v="2"/>
    <x v="1"/>
    <x v="12"/>
    <x v="0"/>
    <n v="12"/>
    <n v="20"/>
    <n v="240"/>
    <n v="168"/>
    <n v="72"/>
  </r>
  <r>
    <n v="1015"/>
    <x v="14"/>
    <s v="Jan-2025"/>
    <x v="1"/>
    <x v="2"/>
    <x v="13"/>
    <x v="2"/>
    <n v="17"/>
    <n v="45"/>
    <n v="765"/>
    <n v="535.5"/>
    <n v="229.5"/>
  </r>
  <r>
    <n v="1016"/>
    <x v="15"/>
    <s v="Jan-2025"/>
    <x v="3"/>
    <x v="0"/>
    <x v="14"/>
    <x v="1"/>
    <n v="2"/>
    <n v="900"/>
    <n v="1800"/>
    <n v="1260"/>
    <n v="540"/>
  </r>
  <r>
    <n v="1017"/>
    <x v="16"/>
    <s v="Jan-2025"/>
    <x v="0"/>
    <x v="3"/>
    <x v="15"/>
    <x v="0"/>
    <n v="3"/>
    <n v="150"/>
    <n v="450"/>
    <n v="315"/>
    <n v="135"/>
  </r>
  <r>
    <n v="1018"/>
    <x v="17"/>
    <s v="Jan-2025"/>
    <x v="2"/>
    <x v="2"/>
    <x v="16"/>
    <x v="1"/>
    <n v="5"/>
    <n v="45"/>
    <n v="225"/>
    <n v="157.5"/>
    <n v="67.5"/>
  </r>
  <r>
    <n v="1019"/>
    <x v="18"/>
    <s v="Jan-2025"/>
    <x v="1"/>
    <x v="1"/>
    <x v="17"/>
    <x v="0"/>
    <n v="15"/>
    <n v="20"/>
    <n v="300"/>
    <n v="210"/>
    <n v="90"/>
  </r>
  <r>
    <n v="1020"/>
    <x v="19"/>
    <s v="Jan-2025"/>
    <x v="3"/>
    <x v="3"/>
    <x v="18"/>
    <x v="2"/>
    <n v="2"/>
    <n v="150"/>
    <n v="300"/>
    <n v="210"/>
    <n v="90"/>
  </r>
  <r>
    <n v="1021"/>
    <x v="20"/>
    <s v="Feb-2025"/>
    <x v="0"/>
    <x v="0"/>
    <x v="19"/>
    <x v="0"/>
    <n v="3"/>
    <n v="900"/>
    <n v="2700"/>
    <n v="1889.9999999999998"/>
    <n v="810.00000000000023"/>
  </r>
  <r>
    <n v="1022"/>
    <x v="21"/>
    <s v="Feb-2025"/>
    <x v="1"/>
    <x v="1"/>
    <x v="20"/>
    <x v="1"/>
    <n v="9"/>
    <n v="20"/>
    <n v="180"/>
    <n v="125.99999999999999"/>
    <n v="54.000000000000014"/>
  </r>
  <r>
    <n v="1023"/>
    <x v="22"/>
    <s v="Feb-2025"/>
    <x v="2"/>
    <x v="2"/>
    <x v="21"/>
    <x v="0"/>
    <n v="4"/>
    <n v="45"/>
    <n v="180"/>
    <n v="125.99999999999999"/>
    <n v="54.000000000000014"/>
  </r>
  <r>
    <n v="1024"/>
    <x v="23"/>
    <s v="Feb-2025"/>
    <x v="3"/>
    <x v="3"/>
    <x v="22"/>
    <x v="2"/>
    <n v="3"/>
    <n v="150"/>
    <n v="450"/>
    <n v="315"/>
    <n v="135"/>
  </r>
  <r>
    <n v="1025"/>
    <x v="24"/>
    <s v="Feb-2025"/>
    <x v="0"/>
    <x v="1"/>
    <x v="23"/>
    <x v="1"/>
    <n v="10"/>
    <n v="20"/>
    <n v="200"/>
    <n v="140"/>
    <n v="60"/>
  </r>
  <r>
    <n v="1026"/>
    <x v="25"/>
    <s v="Feb-2025"/>
    <x v="2"/>
    <x v="0"/>
    <x v="24"/>
    <x v="0"/>
    <n v="1"/>
    <n v="900"/>
    <n v="900"/>
    <n v="630"/>
    <n v="270"/>
  </r>
  <r>
    <n v="1027"/>
    <x v="26"/>
    <s v="Feb-2025"/>
    <x v="1"/>
    <x v="3"/>
    <x v="6"/>
    <x v="2"/>
    <n v="2"/>
    <n v="150"/>
    <n v="300"/>
    <n v="210"/>
    <n v="90"/>
  </r>
  <r>
    <n v="1028"/>
    <x v="27"/>
    <s v="Feb-2025"/>
    <x v="3"/>
    <x v="2"/>
    <x v="7"/>
    <x v="1"/>
    <n v="6"/>
    <n v="45"/>
    <n v="270"/>
    <n v="189"/>
    <n v="81"/>
  </r>
  <r>
    <n v="1029"/>
    <x v="28"/>
    <s v="Feb-2025"/>
    <x v="0"/>
    <x v="0"/>
    <x v="8"/>
    <x v="0"/>
    <n v="2"/>
    <n v="900"/>
    <n v="1800"/>
    <n v="1260"/>
    <n v="540"/>
  </r>
  <r>
    <n v="1030"/>
    <x v="29"/>
    <s v="Feb-2025"/>
    <x v="2"/>
    <x v="1"/>
    <x v="9"/>
    <x v="1"/>
    <n v="7"/>
    <n v="20"/>
    <n v="140"/>
    <n v="98"/>
    <n v="42"/>
  </r>
  <r>
    <n v="1031"/>
    <x v="30"/>
    <s v="Feb-2025"/>
    <x v="1"/>
    <x v="2"/>
    <x v="10"/>
    <x v="2"/>
    <n v="5"/>
    <n v="45"/>
    <n v="225"/>
    <n v="157.5"/>
    <n v="67.5"/>
  </r>
  <r>
    <n v="1032"/>
    <x v="31"/>
    <s v="Feb-2025"/>
    <x v="3"/>
    <x v="3"/>
    <x v="11"/>
    <x v="0"/>
    <n v="4"/>
    <n v="150"/>
    <n v="600"/>
    <n v="420"/>
    <n v="180"/>
  </r>
  <r>
    <n v="1033"/>
    <x v="32"/>
    <s v="Feb-2025"/>
    <x v="0"/>
    <x v="1"/>
    <x v="0"/>
    <x v="1"/>
    <n v="11"/>
    <n v="20"/>
    <n v="220"/>
    <n v="154"/>
    <n v="66"/>
  </r>
  <r>
    <n v="1034"/>
    <x v="33"/>
    <s v="Feb-2025"/>
    <x v="2"/>
    <x v="0"/>
    <x v="12"/>
    <x v="0"/>
    <n v="2"/>
    <n v="900"/>
    <n v="1800"/>
    <n v="1260"/>
    <n v="540"/>
  </r>
  <r>
    <n v="1035"/>
    <x v="34"/>
    <s v="Feb-2025"/>
    <x v="1"/>
    <x v="2"/>
    <x v="13"/>
    <x v="1"/>
    <n v="6"/>
    <n v="45"/>
    <n v="270"/>
    <n v="189"/>
    <n v="81"/>
  </r>
  <r>
    <n v="1036"/>
    <x v="35"/>
    <s v="Feb-2025"/>
    <x v="3"/>
    <x v="1"/>
    <x v="14"/>
    <x v="2"/>
    <n v="9"/>
    <n v="20"/>
    <n v="180"/>
    <n v="125.99999999999999"/>
    <n v="54.000000000000014"/>
  </r>
  <r>
    <n v="1037"/>
    <x v="36"/>
    <s v="Feb-2025"/>
    <x v="0"/>
    <x v="3"/>
    <x v="15"/>
    <x v="0"/>
    <n v="2"/>
    <n v="150"/>
    <n v="300"/>
    <n v="210"/>
    <n v="90"/>
  </r>
  <r>
    <n v="1038"/>
    <x v="37"/>
    <s v="Feb-2025"/>
    <x v="2"/>
    <x v="2"/>
    <x v="16"/>
    <x v="1"/>
    <n v="8"/>
    <n v="45"/>
    <n v="360"/>
    <n v="251.99999999999997"/>
    <n v="108.00000000000003"/>
  </r>
  <r>
    <n v="1039"/>
    <x v="38"/>
    <s v="Feb-2025"/>
    <x v="1"/>
    <x v="0"/>
    <x v="17"/>
    <x v="2"/>
    <n v="1"/>
    <n v="900"/>
    <n v="900"/>
    <n v="630"/>
    <n v="270"/>
  </r>
  <r>
    <n v="1040"/>
    <x v="39"/>
    <s v="Feb-2025"/>
    <x v="3"/>
    <x v="2"/>
    <x v="18"/>
    <x v="0"/>
    <n v="15"/>
    <n v="200"/>
    <n v="3000"/>
    <n v="2100"/>
    <n v="900"/>
  </r>
  <r>
    <n v="1041"/>
    <x v="40"/>
    <s v="Mar-2025"/>
    <x v="0"/>
    <x v="0"/>
    <x v="19"/>
    <x v="1"/>
    <n v="5"/>
    <n v="900"/>
    <n v="4500"/>
    <n v="3150"/>
    <n v="1350"/>
  </r>
  <r>
    <n v="1042"/>
    <x v="41"/>
    <s v="Mar-2025"/>
    <x v="1"/>
    <x v="1"/>
    <x v="20"/>
    <x v="0"/>
    <n v="14"/>
    <n v="20"/>
    <n v="280"/>
    <n v="196"/>
    <n v="84"/>
  </r>
  <r>
    <n v="1043"/>
    <x v="42"/>
    <s v="Mar-2025"/>
    <x v="2"/>
    <x v="2"/>
    <x v="21"/>
    <x v="2"/>
    <n v="6"/>
    <n v="45"/>
    <n v="270"/>
    <n v="189"/>
    <n v="81"/>
  </r>
  <r>
    <n v="1044"/>
    <x v="43"/>
    <s v="Mar-2025"/>
    <x v="3"/>
    <x v="3"/>
    <x v="22"/>
    <x v="1"/>
    <n v="12"/>
    <n v="150"/>
    <n v="1800"/>
    <n v="1260"/>
    <n v="540"/>
  </r>
  <r>
    <n v="1045"/>
    <x v="44"/>
    <s v="Mar-2025"/>
    <x v="0"/>
    <x v="1"/>
    <x v="23"/>
    <x v="0"/>
    <n v="12"/>
    <n v="20"/>
    <n v="240"/>
    <n v="168"/>
    <n v="72"/>
  </r>
  <r>
    <n v="1046"/>
    <x v="45"/>
    <s v="Mar-2025"/>
    <x v="2"/>
    <x v="0"/>
    <x v="24"/>
    <x v="2"/>
    <n v="3"/>
    <n v="900"/>
    <n v="2700"/>
    <n v="1889.9999999999998"/>
    <n v="810.00000000000023"/>
  </r>
  <r>
    <n v="1047"/>
    <x v="46"/>
    <s v="Mar-2025"/>
    <x v="1"/>
    <x v="3"/>
    <x v="6"/>
    <x v="0"/>
    <n v="1"/>
    <n v="150"/>
    <n v="150"/>
    <n v="105"/>
    <n v="45"/>
  </r>
  <r>
    <n v="1048"/>
    <x v="47"/>
    <s v="Mar-2025"/>
    <x v="3"/>
    <x v="2"/>
    <x v="7"/>
    <x v="1"/>
    <n v="7"/>
    <n v="45"/>
    <n v="315"/>
    <n v="220.5"/>
    <n v="94.5"/>
  </r>
  <r>
    <n v="1049"/>
    <x v="48"/>
    <s v="Mar-2025"/>
    <x v="0"/>
    <x v="0"/>
    <x v="8"/>
    <x v="2"/>
    <n v="4"/>
    <n v="900"/>
    <n v="3600"/>
    <n v="2520"/>
    <n v="1080"/>
  </r>
  <r>
    <n v="1050"/>
    <x v="49"/>
    <s v="Mar-2025"/>
    <x v="2"/>
    <x v="1"/>
    <x v="9"/>
    <x v="0"/>
    <n v="10"/>
    <n v="20"/>
    <n v="200"/>
    <n v="140"/>
    <n v="60"/>
  </r>
  <r>
    <n v="1051"/>
    <x v="50"/>
    <s v="Mar-2025"/>
    <x v="1"/>
    <x v="2"/>
    <x v="10"/>
    <x v="0"/>
    <n v="12"/>
    <n v="45"/>
    <n v="540"/>
    <n v="378"/>
    <n v="162"/>
  </r>
  <r>
    <n v="1052"/>
    <x v="51"/>
    <s v="Mar-2025"/>
    <x v="3"/>
    <x v="3"/>
    <x v="11"/>
    <x v="2"/>
    <n v="3"/>
    <n v="150"/>
    <n v="450"/>
    <n v="315"/>
    <n v="135"/>
  </r>
  <r>
    <n v="1053"/>
    <x v="52"/>
    <s v="Mar-2025"/>
    <x v="0"/>
    <x v="1"/>
    <x v="0"/>
    <x v="1"/>
    <n v="9"/>
    <n v="20"/>
    <n v="180"/>
    <n v="125.99999999999999"/>
    <n v="54.000000000000014"/>
  </r>
  <r>
    <n v="1054"/>
    <x v="53"/>
    <s v="Mar-2025"/>
    <x v="2"/>
    <x v="0"/>
    <x v="12"/>
    <x v="0"/>
    <n v="2"/>
    <n v="900"/>
    <n v="1800"/>
    <n v="1260"/>
    <n v="540"/>
  </r>
  <r>
    <n v="1055"/>
    <x v="54"/>
    <s v="Mar-2025"/>
    <x v="1"/>
    <x v="2"/>
    <x v="13"/>
    <x v="2"/>
    <n v="18"/>
    <n v="45"/>
    <n v="810"/>
    <n v="567"/>
    <n v="243"/>
  </r>
  <r>
    <n v="1056"/>
    <x v="55"/>
    <s v="Mar-2025"/>
    <x v="3"/>
    <x v="0"/>
    <x v="14"/>
    <x v="0"/>
    <n v="1"/>
    <n v="900"/>
    <n v="900"/>
    <n v="630"/>
    <n v="270"/>
  </r>
  <r>
    <n v="1057"/>
    <x v="56"/>
    <s v="Mar-2025"/>
    <x v="0"/>
    <x v="3"/>
    <x v="0"/>
    <x v="1"/>
    <n v="3"/>
    <n v="150"/>
    <n v="450"/>
    <n v="315"/>
    <n v="135"/>
  </r>
  <r>
    <n v="1058"/>
    <x v="57"/>
    <s v="Mar-2025"/>
    <x v="2"/>
    <x v="2"/>
    <x v="1"/>
    <x v="2"/>
    <n v="16"/>
    <n v="45"/>
    <n v="720"/>
    <n v="503.99999999999994"/>
    <n v="216.00000000000006"/>
  </r>
  <r>
    <n v="1059"/>
    <x v="58"/>
    <s v="Mar-2025"/>
    <x v="1"/>
    <x v="1"/>
    <x v="2"/>
    <x v="0"/>
    <n v="27"/>
    <n v="20"/>
    <n v="540"/>
    <n v="378"/>
    <n v="162"/>
  </r>
  <r>
    <n v="1060"/>
    <x v="59"/>
    <s v="Mar-2025"/>
    <x v="3"/>
    <x v="3"/>
    <x v="3"/>
    <x v="1"/>
    <n v="12"/>
    <n v="150"/>
    <n v="1800"/>
    <n v="1260"/>
    <n v="540"/>
  </r>
  <r>
    <n v="1061"/>
    <x v="59"/>
    <s v="Mar-2025"/>
    <x v="2"/>
    <x v="0"/>
    <x v="1"/>
    <x v="1"/>
    <n v="8"/>
    <n v="700"/>
    <n v="5600"/>
    <n v="3919.9999999999995"/>
    <n v="16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D1DBF3-5C46-4367-9014-D24D8079063B}" name="PivotTable1"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dataField="1" numFmtId="1"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items count="5">
        <item x="2"/>
        <item x="0"/>
        <item x="1"/>
        <item x="3"/>
        <item t="default"/>
      </items>
    </pivotField>
    <pivotField showAll="0">
      <items count="5">
        <item x="2"/>
        <item x="0"/>
        <item x="3"/>
        <item x="1"/>
        <item t="default"/>
      </items>
    </pivotField>
    <pivotField showAll="0">
      <items count="26">
        <item x="20"/>
        <item x="23"/>
        <item x="10"/>
        <item x="19"/>
        <item x="17"/>
        <item x="6"/>
        <item x="4"/>
        <item x="5"/>
        <item x="16"/>
        <item x="13"/>
        <item x="0"/>
        <item x="24"/>
        <item x="18"/>
        <item x="12"/>
        <item x="9"/>
        <item x="7"/>
        <item x="21"/>
        <item x="15"/>
        <item x="11"/>
        <item x="14"/>
        <item x="8"/>
        <item x="3"/>
        <item x="22"/>
        <item x="2"/>
        <item x="1"/>
        <item t="default"/>
      </items>
    </pivotField>
    <pivotField showAll="0">
      <items count="4">
        <item x="0"/>
        <item x="2"/>
        <item x="1"/>
        <item t="default"/>
      </items>
    </pivotField>
    <pivotField dataField="1" showAll="0"/>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Fields count="1">
    <field x="-2"/>
  </colFields>
  <colItems count="4">
    <i>
      <x/>
    </i>
    <i i="1">
      <x v="1"/>
    </i>
    <i i="2">
      <x v="2"/>
    </i>
    <i i="3">
      <x v="3"/>
    </i>
  </colItems>
  <dataFields count="4">
    <dataField name="Total Sales" fld="9" baseField="0" baseItem="0" numFmtId="168"/>
    <dataField name="Total Profit" fld="11" baseField="0" baseItem="0" numFmtId="168"/>
    <dataField name="Total Quantity" fld="7" subtotal="count" baseField="0" baseItem="1" numFmtId="1"/>
    <dataField name="Total Orders" fld="0" subtotal="count" baseField="0" baseItem="3" numFmtId="3"/>
  </dataFields>
  <formats count="10">
    <format dxfId="292">
      <pivotArea outline="0" collapsedLevelsAreSubtotals="1" fieldPosition="0">
        <references count="1">
          <reference field="4294967294" count="2" selected="0">
            <x v="0"/>
            <x v="1"/>
          </reference>
        </references>
      </pivotArea>
    </format>
    <format dxfId="293">
      <pivotArea dataOnly="0" labelOnly="1" outline="0" fieldPosition="0">
        <references count="1">
          <reference field="4294967294" count="2">
            <x v="0"/>
            <x v="1"/>
          </reference>
        </references>
      </pivotArea>
    </format>
    <format dxfId="294">
      <pivotArea outline="0" collapsedLevelsAreSubtotals="1" fieldPosition="0">
        <references count="1">
          <reference field="4294967294" count="1" selected="0">
            <x v="2"/>
          </reference>
        </references>
      </pivotArea>
    </format>
    <format dxfId="295">
      <pivotArea dataOnly="0" labelOnly="1" outline="0" fieldPosition="0">
        <references count="1">
          <reference field="4294967294" count="1">
            <x v="2"/>
          </reference>
        </references>
      </pivotArea>
    </format>
    <format dxfId="296">
      <pivotArea outline="0" collapsedLevelsAreSubtotals="1" fieldPosition="0">
        <references count="1">
          <reference field="4294967294" count="1" selected="0">
            <x v="3"/>
          </reference>
        </references>
      </pivotArea>
    </format>
    <format dxfId="297">
      <pivotArea dataOnly="0" labelOnly="1" outline="0" fieldPosition="0">
        <references count="1">
          <reference field="4294967294" count="1">
            <x v="3"/>
          </reference>
        </references>
      </pivotArea>
    </format>
    <format dxfId="298">
      <pivotArea dataOnly="0" labelOnly="1" outline="0" fieldPosition="0">
        <references count="1">
          <reference field="4294967294" count="4">
            <x v="0"/>
            <x v="1"/>
            <x v="2"/>
            <x v="3"/>
          </reference>
        </references>
      </pivotArea>
    </format>
    <format dxfId="299">
      <pivotArea dataOnly="0" labelOnly="1" outline="0" fieldPosition="0">
        <references count="1">
          <reference field="4294967294" count="4">
            <x v="0"/>
            <x v="1"/>
            <x v="2"/>
            <x v="3"/>
          </reference>
        </references>
      </pivotArea>
    </format>
    <format dxfId="300">
      <pivotArea outline="0" collapsedLevelsAreSubtotals="1" fieldPosition="0"/>
    </format>
    <format dxfId="30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1FB385-F66B-4B7D-A172-A44847CDDD91}" name="PivotTable2"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alesPerson">
  <location ref="A3:C14" firstHeaderRow="0" firstDataRow="1" firstDataCol="1"/>
  <pivotFields count="14">
    <pivotField numFmtId="1"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items count="5">
        <item x="2"/>
        <item x="0"/>
        <item x="1"/>
        <item x="3"/>
        <item t="default"/>
      </items>
    </pivotField>
    <pivotField showAll="0">
      <items count="5">
        <item x="2"/>
        <item x="0"/>
        <item x="3"/>
        <item x="1"/>
        <item t="default"/>
      </items>
    </pivotField>
    <pivotField axis="axisRow" showAll="0" measureFilter="1" sortType="descending">
      <items count="26">
        <item x="20"/>
        <item x="23"/>
        <item x="10"/>
        <item x="19"/>
        <item x="17"/>
        <item x="6"/>
        <item x="4"/>
        <item x="5"/>
        <item x="16"/>
        <item x="13"/>
        <item x="0"/>
        <item x="24"/>
        <item x="18"/>
        <item x="12"/>
        <item x="9"/>
        <item x="7"/>
        <item x="21"/>
        <item x="15"/>
        <item x="11"/>
        <item x="14"/>
        <item x="8"/>
        <item x="3"/>
        <item x="22"/>
        <item x="2"/>
        <item x="1"/>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11">
    <i>
      <x v="10"/>
    </i>
    <i>
      <x v="6"/>
    </i>
    <i>
      <x v="3"/>
    </i>
    <i>
      <x v="24"/>
    </i>
    <i>
      <x v="20"/>
    </i>
    <i>
      <x v="13"/>
    </i>
    <i>
      <x v="11"/>
    </i>
    <i>
      <x v="12"/>
    </i>
    <i>
      <x v="5"/>
    </i>
    <i>
      <x v="19"/>
    </i>
    <i t="grand">
      <x/>
    </i>
  </rowItems>
  <colFields count="1">
    <field x="-2"/>
  </colFields>
  <colItems count="2">
    <i>
      <x/>
    </i>
    <i i="1">
      <x v="1"/>
    </i>
  </colItems>
  <dataFields count="2">
    <dataField name="Total Sales" fld="9" baseField="0" baseItem="0"/>
    <dataField name="Total Profit" fld="11" baseField="0" baseItem="0"/>
  </dataFields>
  <formats count="23">
    <format dxfId="302">
      <pivotArea field="5" type="button" dataOnly="0" labelOnly="1" outline="0" axis="axisRow" fieldPosition="0"/>
    </format>
    <format dxfId="303">
      <pivotArea dataOnly="0" labelOnly="1" outline="0" axis="axisValues" fieldPosition="0"/>
    </format>
    <format dxfId="304">
      <pivotArea dataOnly="0" labelOnly="1" outline="0" axis="axisValues" fieldPosition="0"/>
    </format>
    <format dxfId="305">
      <pivotArea dataOnly="0" labelOnly="1" outline="0" axis="axisValues" fieldPosition="0"/>
    </format>
    <format dxfId="306">
      <pivotArea field="5" type="button" dataOnly="0" labelOnly="1" outline="0" axis="axisRow" fieldPosition="0"/>
    </format>
    <format dxfId="307">
      <pivotArea dataOnly="0" labelOnly="1" outline="0" fieldPosition="0">
        <references count="1">
          <reference field="4294967294" count="2">
            <x v="0"/>
            <x v="1"/>
          </reference>
        </references>
      </pivotArea>
    </format>
    <format dxfId="308">
      <pivotArea field="5" type="button" dataOnly="0" labelOnly="1" outline="0" axis="axisRow" fieldPosition="0"/>
    </format>
    <format dxfId="309">
      <pivotArea dataOnly="0" labelOnly="1" outline="0" fieldPosition="0">
        <references count="1">
          <reference field="4294967294" count="2">
            <x v="0"/>
            <x v="1"/>
          </reference>
        </references>
      </pivotArea>
    </format>
    <format dxfId="310">
      <pivotArea outline="0" collapsedLevelsAreSubtotals="1" fieldPosition="0"/>
    </format>
    <format dxfId="311">
      <pivotArea dataOnly="0" labelOnly="1" outline="0" fieldPosition="0">
        <references count="1">
          <reference field="4294967294" count="2">
            <x v="0"/>
            <x v="1"/>
          </reference>
        </references>
      </pivotArea>
    </format>
    <format dxfId="312">
      <pivotArea type="all" dataOnly="0" outline="0" fieldPosition="0"/>
    </format>
    <format dxfId="313">
      <pivotArea outline="0" collapsedLevelsAreSubtotals="1" fieldPosition="0"/>
    </format>
    <format dxfId="314">
      <pivotArea field="5" type="button" dataOnly="0" labelOnly="1" outline="0" axis="axisRow" fieldPosition="0"/>
    </format>
    <format dxfId="315">
      <pivotArea dataOnly="0" labelOnly="1" fieldPosition="0">
        <references count="1">
          <reference field="5" count="0"/>
        </references>
      </pivotArea>
    </format>
    <format dxfId="316">
      <pivotArea dataOnly="0" labelOnly="1" grandRow="1" outline="0" fieldPosition="0"/>
    </format>
    <format dxfId="317">
      <pivotArea dataOnly="0" labelOnly="1" outline="0" fieldPosition="0">
        <references count="1">
          <reference field="4294967294" count="2">
            <x v="0"/>
            <x v="1"/>
          </reference>
        </references>
      </pivotArea>
    </format>
    <format dxfId="318">
      <pivotArea field="5" type="button" dataOnly="0" labelOnly="1" outline="0" axis="axisRow" fieldPosition="0"/>
    </format>
    <format dxfId="319">
      <pivotArea dataOnly="0" labelOnly="1" outline="0" fieldPosition="0">
        <references count="1">
          <reference field="4294967294" count="2">
            <x v="0"/>
            <x v="1"/>
          </reference>
        </references>
      </pivotArea>
    </format>
    <format dxfId="320">
      <pivotArea field="5" type="button" dataOnly="0" labelOnly="1" outline="0" axis="axisRow" fieldPosition="0"/>
    </format>
    <format dxfId="321">
      <pivotArea dataOnly="0" labelOnly="1" outline="0" fieldPosition="0">
        <references count="1">
          <reference field="4294967294" count="2">
            <x v="0"/>
            <x v="1"/>
          </reference>
        </references>
      </pivotArea>
    </format>
    <format dxfId="322">
      <pivotArea grandRow="1" outline="0" collapsedLevelsAreSubtotals="1" fieldPosition="0"/>
    </format>
    <format dxfId="323">
      <pivotArea dataOnly="0" labelOnly="1" grandRow="1" outline="0" fieldPosition="0"/>
    </format>
    <format dxfId="324">
      <pivotArea collapsedLevelsAreSubtotals="1" fieldPosition="0">
        <references count="2">
          <reference field="4294967294" count="1" selected="0">
            <x v="0"/>
          </reference>
          <reference field="5" count="0"/>
        </references>
      </pivotArea>
    </format>
  </format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9"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3F4F35-B4FB-4BBB-A5D0-F54F45E47EC8}" name="PivotTable3"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3:C8" firstHeaderRow="0" firstDataRow="1" firstDataCol="1"/>
  <pivotFields count="14">
    <pivotField numFmtId="1"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items count="5">
        <item x="2"/>
        <item x="0"/>
        <item x="1"/>
        <item x="3"/>
        <item t="default"/>
      </items>
    </pivotField>
    <pivotField axis="axisRow" showAll="0">
      <items count="5">
        <item x="2"/>
        <item x="0"/>
        <item x="3"/>
        <item x="1"/>
        <item t="default"/>
      </items>
    </pivotField>
    <pivotField showAll="0">
      <items count="26">
        <item x="20"/>
        <item x="23"/>
        <item x="10"/>
        <item x="19"/>
        <item x="17"/>
        <item x="6"/>
        <item x="4"/>
        <item x="5"/>
        <item x="16"/>
        <item x="13"/>
        <item x="0"/>
        <item x="24"/>
        <item x="18"/>
        <item x="12"/>
        <item x="9"/>
        <item x="7"/>
        <item x="21"/>
        <item x="15"/>
        <item x="11"/>
        <item x="14"/>
        <item x="8"/>
        <item x="3"/>
        <item x="22"/>
        <item x="2"/>
        <item x="1"/>
        <item t="default"/>
      </items>
    </pivotField>
    <pivotField showAll="0">
      <items count="4">
        <item x="0"/>
        <item x="2"/>
        <item x="1"/>
        <item t="default"/>
      </items>
    </pivotField>
    <pivotField showAll="0"/>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5">
    <i>
      <x/>
    </i>
    <i>
      <x v="1"/>
    </i>
    <i>
      <x v="2"/>
    </i>
    <i>
      <x v="3"/>
    </i>
    <i t="grand">
      <x/>
    </i>
  </rowItems>
  <colFields count="1">
    <field x="-2"/>
  </colFields>
  <colItems count="2">
    <i>
      <x/>
    </i>
    <i i="1">
      <x v="1"/>
    </i>
  </colItems>
  <dataFields count="2">
    <dataField name="Sum of Sales" fld="9" baseField="0" baseItem="0"/>
    <dataField name="Sum of Profit" fld="11" baseField="0" baseItem="0"/>
  </dataFields>
  <formats count="6">
    <format dxfId="286">
      <pivotArea outline="0" collapsedLevelsAreSubtotals="1" fieldPosition="0"/>
    </format>
    <format dxfId="287">
      <pivotArea field="4" type="button" dataOnly="0" labelOnly="1" outline="0" axis="axisRow" fieldPosition="0"/>
    </format>
    <format dxfId="288">
      <pivotArea field="4" type="button" dataOnly="0" labelOnly="1" outline="0" axis="axisRow" fieldPosition="0"/>
    </format>
    <format dxfId="289">
      <pivotArea field="4" type="button" dataOnly="0" labelOnly="1" outline="0" axis="axisRow" fieldPosition="0"/>
    </format>
    <format dxfId="290">
      <pivotArea dataOnly="0" grandRow="1" axis="axisRow" fieldPosition="0"/>
    </format>
    <format dxfId="291">
      <pivotArea dataOnly="0" grandRow="1" axis="axisRow" fieldPosition="0"/>
    </format>
  </format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AC6D2C-AB22-4F46-8CEC-4FB1458D6C7E}" name="PivotTable4" cacheId="1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rowHeaderCaption="Date">
  <location ref="A3:C7" firstHeaderRow="1" firstDataRow="1" firstDataCol="2"/>
  <pivotFields count="14">
    <pivotField compact="0" numFmtId="1" outline="0" showAll="0" defaultSubtotal="0">
      <extLst>
        <ext xmlns:x14="http://schemas.microsoft.com/office/spreadsheetml/2009/9/main" uri="{2946ED86-A175-432a-8AC1-64E0C546D7DE}">
          <x14:pivotField fillDownLabels="1"/>
        </ext>
      </extLst>
    </pivotField>
    <pivotField compact="0" numFmtId="14" outline="0" showAll="0" defaultSubtota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1"/>
        <item x="3"/>
      </items>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25">
        <item x="20"/>
        <item x="23"/>
        <item x="10"/>
        <item x="19"/>
        <item x="17"/>
        <item x="6"/>
        <item x="4"/>
        <item x="5"/>
        <item x="16"/>
        <item x="13"/>
        <item x="0"/>
        <item x="24"/>
        <item x="18"/>
        <item x="12"/>
        <item x="9"/>
        <item x="7"/>
        <item x="21"/>
        <item x="15"/>
        <item x="11"/>
        <item x="14"/>
        <item x="8"/>
        <item x="3"/>
        <item x="22"/>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s>
  <rowFields count="2">
    <field x="13"/>
    <field x="12"/>
  </rowFields>
  <rowItems count="4">
    <i>
      <x v="1"/>
      <x v="1"/>
    </i>
    <i r="1">
      <x v="2"/>
    </i>
    <i r="1">
      <x v="3"/>
    </i>
    <i t="grand">
      <x/>
    </i>
  </rowItems>
  <colItems count="1">
    <i/>
  </colItems>
  <dataFields count="1">
    <dataField name="Total Sales" fld="9" baseField="0" baseItem="0" numFmtId="168"/>
  </dataFields>
  <formats count="8">
    <format dxfId="278">
      <pivotArea outline="0" collapsedLevelsAreSubtotals="1" fieldPosition="0"/>
    </format>
    <format dxfId="279">
      <pivotArea dataOnly="0" labelOnly="1" outline="0" axis="axisValues" fieldPosition="0"/>
    </format>
    <format dxfId="280">
      <pivotArea dataOnly="0" labelOnly="1" outline="0" axis="axisValues" fieldPosition="0"/>
    </format>
    <format dxfId="281">
      <pivotArea dataOnly="0" labelOnly="1" outline="0" axis="axisValues" fieldPosition="0"/>
    </format>
    <format dxfId="282">
      <pivotArea dataOnly="0" labelOnly="1" outline="0" axis="axisValues" fieldPosition="0"/>
    </format>
    <format dxfId="283">
      <pivotArea dataOnly="0" grandRow="1" axis="axisRow" fieldPosition="0"/>
    </format>
    <format dxfId="284">
      <pivotArea dataOnly="0" grandRow="1" axis="axisRow" fieldPosition="0"/>
    </format>
    <format dxfId="285">
      <pivotArea dataOnly="0" labelOnly="1" grandRow="1" outline="0"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2" count="1" selected="0">
            <x v="3"/>
          </reference>
          <reference field="13" count="1" selected="0">
            <x v="1"/>
          </reference>
        </references>
      </pivotArea>
    </chartFormat>
    <chartFormat chart="3" format="4">
      <pivotArea type="data" outline="0" fieldPosition="0">
        <references count="3">
          <reference field="4294967294" count="1" selected="0">
            <x v="0"/>
          </reference>
          <reference field="12" count="1" selected="0">
            <x v="2"/>
          </reference>
          <reference field="13" count="1" selected="0">
            <x v="1"/>
          </reference>
        </references>
      </pivotArea>
    </chartFormat>
    <chartFormat chart="3" format="5">
      <pivotArea type="data" outline="0" fieldPosition="0">
        <references count="3">
          <reference field="4294967294" count="1" selected="0">
            <x v="0"/>
          </reference>
          <reference field="1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80A9A39-83AD-464A-9185-097CFF03D387}" sourceName="Product">
  <pivotTables>
    <pivotTable tabId="3" name="PivotTable2"/>
    <pivotTable tabId="2" name="PivotTable1"/>
    <pivotTable tabId="4" name="PivotTable3"/>
    <pivotTable tabId="5" name="PivotTable4"/>
  </pivotTables>
  <data>
    <tabular pivotCacheId="1786076633">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02AA33-3AE9-428B-9609-B8EFFBE52474}" sourceName="Region">
  <pivotTables>
    <pivotTable tabId="3" name="PivotTable2"/>
    <pivotTable tabId="2" name="PivotTable1"/>
    <pivotTable tabId="4" name="PivotTable3"/>
    <pivotTable tabId="5" name="PivotTable4"/>
  </pivotTables>
  <data>
    <tabular pivotCacheId="1786076633">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2036973-A965-4F25-B623-4C8276728C52}" sourceName="Salesperson">
  <pivotTables>
    <pivotTable tabId="3" name="PivotTable2"/>
    <pivotTable tabId="2" name="PivotTable1"/>
    <pivotTable tabId="4" name="PivotTable3"/>
    <pivotTable tabId="5" name="PivotTable4"/>
  </pivotTables>
  <data>
    <tabular pivotCacheId="1786076633">
      <items count="25">
        <i x="20" s="1"/>
        <i x="23" s="1"/>
        <i x="10" s="1"/>
        <i x="19" s="1"/>
        <i x="17" s="1"/>
        <i x="6" s="1"/>
        <i x="4" s="1"/>
        <i x="5" s="1"/>
        <i x="16" s="1"/>
        <i x="13" s="1"/>
        <i x="0" s="1"/>
        <i x="24" s="1"/>
        <i x="18" s="1"/>
        <i x="12" s="1"/>
        <i x="9" s="1"/>
        <i x="7" s="1"/>
        <i x="21" s="1"/>
        <i x="15" s="1"/>
        <i x="11" s="1"/>
        <i x="14" s="1"/>
        <i x="8" s="1"/>
        <i x="3" s="1"/>
        <i x="22"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EF6A0E3-D17F-46E6-BE2E-E0533E6312F7}" sourceName="Customer_Type">
  <pivotTables>
    <pivotTable tabId="3" name="PivotTable2"/>
    <pivotTable tabId="2" name="PivotTable1"/>
    <pivotTable tabId="4" name="PivotTable3"/>
  </pivotTables>
  <data>
    <tabular pivotCacheId="17860766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D4715F0-99C7-4C7A-8884-96B7ED4F241E}" cache="Slicer_Product" showCaption="0" rowHeight="247650"/>
  <slicer name="Region" xr10:uid="{3ACB771E-F1B8-4459-9F9A-AB5192DBDA20}" cache="Slicer_Region" showCaption="0" rowHeight="247650"/>
  <slicer name="Salesperson" xr10:uid="{8632608C-B23E-4A7A-86F9-44932110A86B}" cache="Slicer_Salesperson" startItem="14" showCaption="0" rowHeight="247650"/>
  <slicer name="Customer_Type" xr10:uid="{4B2D6264-F18A-4511-9C9C-8AE584A33373}" cache="Slicer_Customer_Type" showCaption="0"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987A70-A5A2-4F68-98A7-1EC56538B687}" name="CompanySales" displayName="CompanySales" ref="A1:L62" totalsRowShown="0" headerRowDxfId="1811">
  <autoFilter ref="A1:L62" xr:uid="{F4987A70-A5A2-4F68-98A7-1EC56538B687}"/>
  <tableColumns count="12">
    <tableColumn id="12" xr3:uid="{14D88FC5-5943-4832-8BF4-8DE9D384EDA3}" name="Order_Id" dataDxfId="1810"/>
    <tableColumn id="1" xr3:uid="{29FE27F2-6CDE-433C-BE3F-F1E53C11C03F}" name="Date" dataDxfId="1813"/>
    <tableColumn id="7" xr3:uid="{FF13E7D7-64F0-4EE7-9E1C-BFF536F4A642}" name="Month" dataDxfId="1809">
      <calculatedColumnFormula>TEXT(CompanySales[[#This Row],[Date]],"MMM-YYYY")</calculatedColumnFormula>
    </tableColumn>
    <tableColumn id="2" xr3:uid="{99BEB236-7B93-4FB9-BCE1-5E4B1856D260}" name="Region"/>
    <tableColumn id="3" xr3:uid="{243614D2-3176-4166-8836-3ABE20970E2E}" name="Product"/>
    <tableColumn id="8" xr3:uid="{768A2004-8367-412E-959B-6BF7FA5A5E32}" name="Salesperson"/>
    <tableColumn id="9" xr3:uid="{C340EC0D-479E-48F7-9F83-F9B2D2ED6F51}" name="Customer_Type"/>
    <tableColumn id="4" xr3:uid="{906EFCFE-F589-4A4F-ADC3-AF08D436957C}" name="Quantity"/>
    <tableColumn id="5" xr3:uid="{C8FC507A-DE9E-48A8-8D15-61441DCBFCE5}" name="Price"/>
    <tableColumn id="6" xr3:uid="{3E352C33-9AA7-423F-AAAB-096F20016DF0}" name="Sales" dataDxfId="1812">
      <calculatedColumnFormula>CompanySales[[#This Row],[Quantity]]*CompanySales[[#This Row],[Price]]</calculatedColumnFormula>
    </tableColumn>
    <tableColumn id="10" xr3:uid="{FA72C04E-5F45-4448-A7D5-D9F975BEF9DF}" name="Cost" dataDxfId="1808">
      <calculatedColumnFormula>CompanySales[[#This Row],[Sales]]*0.7</calculatedColumnFormula>
    </tableColumn>
    <tableColumn id="11" xr3:uid="{0A926A27-DAC3-4528-84FF-01D28CCB8F95}" name="Profit" dataDxfId="1807">
      <calculatedColumnFormula>CompanySales[[#This Row],[Sales]]-CompanySales[[#This Row],[Cost]]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1AE55-9CB5-4D2A-8B63-6193478D142E}">
  <dimension ref="T2:U5"/>
  <sheetViews>
    <sheetView showGridLines="0" tabSelected="1" zoomScaleNormal="100" workbookViewId="0">
      <selection activeCell="AB12" sqref="AB12"/>
    </sheetView>
  </sheetViews>
  <sheetFormatPr defaultRowHeight="14.4" x14ac:dyDescent="0.3"/>
  <cols>
    <col min="1" max="19" width="8.88671875" style="37"/>
    <col min="20" max="20" width="6.88671875" style="37" hidden="1" customWidth="1"/>
    <col min="21" max="21" width="8" style="37" hidden="1" customWidth="1"/>
    <col min="22" max="16384" width="8.88671875" style="37"/>
  </cols>
  <sheetData>
    <row r="2" spans="21:21" x14ac:dyDescent="0.3">
      <c r="U2" s="38">
        <f>GETPIVOTDATA("Total Sales",KPI_Pivot!$A$3)</f>
        <v>87755</v>
      </c>
    </row>
    <row r="3" spans="21:21" x14ac:dyDescent="0.3">
      <c r="U3" s="38">
        <f>GETPIVOTDATA("Total Profit",KPI_Pivot!$A$3)</f>
        <v>26326.5</v>
      </c>
    </row>
    <row r="4" spans="21:21" x14ac:dyDescent="0.3">
      <c r="U4" s="39">
        <f>U3/U2</f>
        <v>0.3</v>
      </c>
    </row>
    <row r="5" spans="21:21" x14ac:dyDescent="0.3">
      <c r="U5" s="38">
        <f>GETPIVOTDATA("Total Quantity",KPI_Pivot!$A$3)</f>
        <v>61</v>
      </c>
    </row>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78D8-1CBE-4418-8F50-948B37DF8A4F}">
  <dimension ref="A3:D4"/>
  <sheetViews>
    <sheetView workbookViewId="0">
      <selection activeCell="B4" sqref="B4"/>
    </sheetView>
  </sheetViews>
  <sheetFormatPr defaultRowHeight="14.4" x14ac:dyDescent="0.3"/>
  <cols>
    <col min="1" max="2" width="11" style="10" bestFit="1" customWidth="1"/>
    <col min="3" max="3" width="13.88671875" style="6" bestFit="1" customWidth="1"/>
    <col min="4" max="4" width="12.21875" style="11" bestFit="1" customWidth="1"/>
  </cols>
  <sheetData>
    <row r="3" spans="1:4" ht="22.8" customHeight="1" x14ac:dyDescent="0.3">
      <c r="A3" s="16" t="s">
        <v>51</v>
      </c>
      <c r="B3" s="16" t="s">
        <v>52</v>
      </c>
      <c r="C3" s="17" t="s">
        <v>53</v>
      </c>
      <c r="D3" s="18" t="s">
        <v>54</v>
      </c>
    </row>
    <row r="4" spans="1:4" ht="21" customHeight="1" x14ac:dyDescent="0.3">
      <c r="A4" s="13">
        <v>87755</v>
      </c>
      <c r="B4" s="13">
        <v>26326.5</v>
      </c>
      <c r="C4" s="14">
        <v>61</v>
      </c>
      <c r="D4" s="15">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F0B5-5C7E-4F39-83A9-39B2D2C6919E}">
  <dimension ref="A3:C29"/>
  <sheetViews>
    <sheetView workbookViewId="0">
      <selection activeCell="A14" sqref="A14"/>
    </sheetView>
  </sheetViews>
  <sheetFormatPr defaultRowHeight="14.4" x14ac:dyDescent="0.3"/>
  <cols>
    <col min="1" max="1" width="16.88671875" bestFit="1" customWidth="1"/>
    <col min="2" max="3" width="10.109375" style="10" bestFit="1" customWidth="1"/>
  </cols>
  <sheetData>
    <row r="3" spans="1:3" ht="15.6" x14ac:dyDescent="0.3">
      <c r="A3" s="29" t="s">
        <v>56</v>
      </c>
      <c r="B3" s="30" t="s">
        <v>51</v>
      </c>
      <c r="C3" s="31" t="s">
        <v>52</v>
      </c>
    </row>
    <row r="4" spans="1:3" x14ac:dyDescent="0.3">
      <c r="A4" s="26" t="s">
        <v>20</v>
      </c>
      <c r="B4" s="34">
        <v>26950</v>
      </c>
      <c r="C4" s="25">
        <v>8085.0000000000018</v>
      </c>
    </row>
    <row r="5" spans="1:3" x14ac:dyDescent="0.3">
      <c r="A5" s="27" t="s">
        <v>24</v>
      </c>
      <c r="B5" s="35">
        <v>7200</v>
      </c>
      <c r="C5" s="23">
        <v>2160</v>
      </c>
    </row>
    <row r="6" spans="1:3" x14ac:dyDescent="0.3">
      <c r="A6" s="27" t="s">
        <v>42</v>
      </c>
      <c r="B6" s="35">
        <v>7200</v>
      </c>
      <c r="C6" s="23">
        <v>2160</v>
      </c>
    </row>
    <row r="7" spans="1:3" x14ac:dyDescent="0.3">
      <c r="A7" s="27" t="s">
        <v>21</v>
      </c>
      <c r="B7" s="35">
        <v>6520</v>
      </c>
      <c r="C7" s="23">
        <v>1956.0000000000005</v>
      </c>
    </row>
    <row r="8" spans="1:3" x14ac:dyDescent="0.3">
      <c r="A8" s="27" t="s">
        <v>30</v>
      </c>
      <c r="B8" s="35">
        <v>5760</v>
      </c>
      <c r="C8" s="23">
        <v>1728</v>
      </c>
    </row>
    <row r="9" spans="1:3" x14ac:dyDescent="0.3">
      <c r="A9" s="27" t="s">
        <v>35</v>
      </c>
      <c r="B9" s="35">
        <v>3840</v>
      </c>
      <c r="C9" s="23">
        <v>1152</v>
      </c>
    </row>
    <row r="10" spans="1:3" x14ac:dyDescent="0.3">
      <c r="A10" s="27" t="s">
        <v>47</v>
      </c>
      <c r="B10" s="35">
        <v>3600</v>
      </c>
      <c r="C10" s="23">
        <v>1080.0000000000002</v>
      </c>
    </row>
    <row r="11" spans="1:3" x14ac:dyDescent="0.3">
      <c r="A11" s="27" t="s">
        <v>41</v>
      </c>
      <c r="B11" s="35">
        <v>3300</v>
      </c>
      <c r="C11" s="23">
        <v>990</v>
      </c>
    </row>
    <row r="12" spans="1:3" x14ac:dyDescent="0.3">
      <c r="A12" s="27" t="s">
        <v>26</v>
      </c>
      <c r="B12" s="35">
        <v>3050</v>
      </c>
      <c r="C12" s="23">
        <v>915.00000000000023</v>
      </c>
    </row>
    <row r="13" spans="1:3" x14ac:dyDescent="0.3">
      <c r="A13" s="28" t="s">
        <v>37</v>
      </c>
      <c r="B13" s="35">
        <v>2880</v>
      </c>
      <c r="C13" s="23">
        <v>864</v>
      </c>
    </row>
    <row r="14" spans="1:3" x14ac:dyDescent="0.3">
      <c r="A14" s="33" t="s">
        <v>55</v>
      </c>
      <c r="B14" s="32">
        <v>70300</v>
      </c>
      <c r="C14" s="24">
        <v>21090</v>
      </c>
    </row>
    <row r="15" spans="1:3" x14ac:dyDescent="0.3">
      <c r="B15"/>
      <c r="C15"/>
    </row>
    <row r="16" spans="1:3"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F761E-E579-4C84-BD7A-B66B6AB21D8A}">
  <dimension ref="A3:C8"/>
  <sheetViews>
    <sheetView workbookViewId="0">
      <selection activeCell="B7" sqref="B7"/>
    </sheetView>
  </sheetViews>
  <sheetFormatPr defaultRowHeight="14.4" x14ac:dyDescent="0.3"/>
  <cols>
    <col min="1" max="1" width="12.77734375" bestFit="1" customWidth="1"/>
    <col min="2" max="3" width="11.5546875" style="10" bestFit="1" customWidth="1"/>
  </cols>
  <sheetData>
    <row r="3" spans="1:3" ht="30.6" customHeight="1" x14ac:dyDescent="0.3">
      <c r="A3" s="21" t="s">
        <v>2</v>
      </c>
      <c r="B3" t="s">
        <v>48</v>
      </c>
      <c r="C3" t="s">
        <v>49</v>
      </c>
    </row>
    <row r="4" spans="1:3" x14ac:dyDescent="0.3">
      <c r="A4" s="20" t="s">
        <v>10</v>
      </c>
      <c r="B4" s="10">
        <v>9975</v>
      </c>
      <c r="C4" s="10">
        <v>2992.5</v>
      </c>
    </row>
    <row r="5" spans="1:3" x14ac:dyDescent="0.3">
      <c r="A5" s="20" t="s">
        <v>6</v>
      </c>
      <c r="B5" s="10">
        <v>64100</v>
      </c>
      <c r="C5" s="10">
        <v>19230</v>
      </c>
    </row>
    <row r="6" spans="1:3" x14ac:dyDescent="0.3">
      <c r="A6" s="20" t="s">
        <v>12</v>
      </c>
      <c r="B6" s="10">
        <v>10100</v>
      </c>
      <c r="C6" s="10">
        <v>3030</v>
      </c>
    </row>
    <row r="7" spans="1:3" x14ac:dyDescent="0.3">
      <c r="A7" s="20" t="s">
        <v>8</v>
      </c>
      <c r="B7" s="10">
        <v>3580</v>
      </c>
      <c r="C7" s="10">
        <v>1074</v>
      </c>
    </row>
    <row r="8" spans="1:3" ht="21.6" customHeight="1" x14ac:dyDescent="0.3">
      <c r="A8" s="22" t="s">
        <v>55</v>
      </c>
      <c r="B8" s="12">
        <v>87755</v>
      </c>
      <c r="C8" s="12">
        <v>26326.5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6175-9EDB-4753-83B1-091E2991B7FD}">
  <dimension ref="A3:C8"/>
  <sheetViews>
    <sheetView workbookViewId="0">
      <selection activeCell="C5" sqref="C5"/>
    </sheetView>
  </sheetViews>
  <sheetFormatPr defaultRowHeight="14.4" x14ac:dyDescent="0.3"/>
  <cols>
    <col min="1" max="1" width="10.5546875" style="1" bestFit="1" customWidth="1"/>
    <col min="2" max="2" width="14.77734375" style="10" bestFit="1" customWidth="1"/>
    <col min="3" max="3" width="10.88671875" bestFit="1" customWidth="1"/>
  </cols>
  <sheetData>
    <row r="3" spans="1:3" ht="30.6" customHeight="1" x14ac:dyDescent="0.3">
      <c r="A3" s="19" t="s">
        <v>61</v>
      </c>
      <c r="B3" s="19" t="s">
        <v>62</v>
      </c>
      <c r="C3" s="16" t="s">
        <v>51</v>
      </c>
    </row>
    <row r="4" spans="1:3" x14ac:dyDescent="0.3">
      <c r="A4" t="s">
        <v>60</v>
      </c>
      <c r="B4" t="s">
        <v>57</v>
      </c>
      <c r="C4" s="10">
        <v>44935</v>
      </c>
    </row>
    <row r="5" spans="1:3" x14ac:dyDescent="0.3">
      <c r="A5" t="s">
        <v>60</v>
      </c>
      <c r="B5" t="s">
        <v>58</v>
      </c>
      <c r="C5" s="10">
        <v>14975</v>
      </c>
    </row>
    <row r="6" spans="1:3" x14ac:dyDescent="0.3">
      <c r="A6" t="s">
        <v>60</v>
      </c>
      <c r="B6" t="s">
        <v>59</v>
      </c>
      <c r="C6" s="10">
        <v>27845</v>
      </c>
    </row>
    <row r="7" spans="1:3" x14ac:dyDescent="0.3">
      <c r="A7" s="36" t="s">
        <v>55</v>
      </c>
      <c r="B7" s="36"/>
      <c r="C7" s="12">
        <v>87755</v>
      </c>
    </row>
    <row r="8" spans="1:3" ht="24" customHeight="1" x14ac:dyDescent="0.3">
      <c r="A8"/>
      <c r="B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DD5FE-6344-4CD8-8EA7-CCC9757166E4}">
  <dimension ref="A1:S67"/>
  <sheetViews>
    <sheetView topLeftCell="A18" zoomScaleNormal="100" workbookViewId="0">
      <selection activeCell="H41" sqref="H41"/>
    </sheetView>
  </sheetViews>
  <sheetFormatPr defaultRowHeight="14.4" x14ac:dyDescent="0.3"/>
  <cols>
    <col min="1" max="1" width="12.5546875" style="6" customWidth="1"/>
    <col min="2" max="2" width="12.5546875" customWidth="1"/>
    <col min="3" max="3" width="13.77734375" customWidth="1"/>
    <col min="4" max="5" width="13.21875" customWidth="1"/>
    <col min="6" max="6" width="15.6640625" customWidth="1"/>
    <col min="7" max="7" width="14.109375" customWidth="1"/>
    <col min="15" max="15" width="32.21875" customWidth="1"/>
    <col min="16" max="16" width="2" customWidth="1"/>
    <col min="19" max="19" width="11" customWidth="1"/>
  </cols>
  <sheetData>
    <row r="1" spans="1:16" s="5" customFormat="1" ht="24" customHeight="1" x14ac:dyDescent="0.3">
      <c r="A1" s="6" t="s">
        <v>14</v>
      </c>
      <c r="B1" s="4" t="s">
        <v>0</v>
      </c>
      <c r="C1" s="4" t="s">
        <v>19</v>
      </c>
      <c r="D1" s="4" t="s">
        <v>1</v>
      </c>
      <c r="E1" s="4" t="s">
        <v>2</v>
      </c>
      <c r="F1" s="4" t="s">
        <v>17</v>
      </c>
      <c r="G1" s="4" t="s">
        <v>18</v>
      </c>
      <c r="H1" s="4" t="s">
        <v>3</v>
      </c>
      <c r="I1" s="4" t="s">
        <v>4</v>
      </c>
      <c r="J1" s="4" t="s">
        <v>13</v>
      </c>
      <c r="K1" s="4" t="s">
        <v>15</v>
      </c>
      <c r="L1" s="4" t="s">
        <v>16</v>
      </c>
    </row>
    <row r="2" spans="1:16" x14ac:dyDescent="0.3">
      <c r="A2" s="7">
        <v>1001</v>
      </c>
      <c r="B2" s="2">
        <v>45658</v>
      </c>
      <c r="C2" s="2" t="str">
        <f>TEXT(CompanySales[[#This Row],[Date]],"MMM-YYYY")</f>
        <v>Jan-2025</v>
      </c>
      <c r="D2" s="3" t="s">
        <v>5</v>
      </c>
      <c r="E2" s="3" t="s">
        <v>6</v>
      </c>
      <c r="F2" s="3" t="s">
        <v>20</v>
      </c>
      <c r="G2" t="s">
        <v>27</v>
      </c>
      <c r="H2" s="3">
        <v>25</v>
      </c>
      <c r="I2" s="3">
        <v>900</v>
      </c>
      <c r="J2">
        <f>CompanySales[[#This Row],[Quantity]]*CompanySales[[#This Row],[Price]]</f>
        <v>22500</v>
      </c>
      <c r="K2">
        <f>CompanySales[[#This Row],[Sales]]*0.7</f>
        <v>15749.999999999998</v>
      </c>
      <c r="L2">
        <f>CompanySales[[#This Row],[Sales]]-CompanySales[[#This Row],[Cost]]</f>
        <v>6750.0000000000018</v>
      </c>
    </row>
    <row r="3" spans="1:16" x14ac:dyDescent="0.3">
      <c r="A3" s="7">
        <v>1002</v>
      </c>
      <c r="B3" s="2">
        <v>45659</v>
      </c>
      <c r="C3" s="2" t="str">
        <f>TEXT(CompanySales[[#This Row],[Date]],"MMM-YYYY")</f>
        <v>Jan-2025</v>
      </c>
      <c r="D3" s="3" t="s">
        <v>7</v>
      </c>
      <c r="E3" s="3" t="s">
        <v>8</v>
      </c>
      <c r="F3" s="3" t="s">
        <v>21</v>
      </c>
      <c r="G3" t="s">
        <v>29</v>
      </c>
      <c r="H3" s="3">
        <v>10</v>
      </c>
      <c r="I3" s="3">
        <v>20</v>
      </c>
      <c r="J3">
        <f>CompanySales[[#This Row],[Quantity]]*CompanySales[[#This Row],[Price]]</f>
        <v>200</v>
      </c>
      <c r="K3">
        <f>CompanySales[[#This Row],[Sales]]*0.7</f>
        <v>140</v>
      </c>
      <c r="L3">
        <f>CompanySales[[#This Row],[Sales]]-CompanySales[[#This Row],[Cost]]</f>
        <v>60</v>
      </c>
    </row>
    <row r="4" spans="1:16" x14ac:dyDescent="0.3">
      <c r="A4" s="7">
        <v>1003</v>
      </c>
      <c r="B4" s="2">
        <v>45660</v>
      </c>
      <c r="C4" s="2" t="str">
        <f>TEXT(CompanySales[[#This Row],[Date]],"MMM-YYYY")</f>
        <v>Jan-2025</v>
      </c>
      <c r="D4" s="3" t="s">
        <v>9</v>
      </c>
      <c r="E4" s="3" t="s">
        <v>10</v>
      </c>
      <c r="F4" s="3" t="s">
        <v>22</v>
      </c>
      <c r="G4" t="s">
        <v>27</v>
      </c>
      <c r="H4" s="3">
        <v>35</v>
      </c>
      <c r="I4" s="3">
        <v>45</v>
      </c>
      <c r="J4">
        <f>CompanySales[[#This Row],[Quantity]]*CompanySales[[#This Row],[Price]]</f>
        <v>1575</v>
      </c>
      <c r="K4">
        <f>CompanySales[[#This Row],[Sales]]*0.7</f>
        <v>1102.5</v>
      </c>
      <c r="L4">
        <f>CompanySales[[#This Row],[Sales]]-CompanySales[[#This Row],[Cost]]</f>
        <v>472.5</v>
      </c>
    </row>
    <row r="5" spans="1:16" x14ac:dyDescent="0.3">
      <c r="A5" s="7">
        <v>1004</v>
      </c>
      <c r="B5" s="2">
        <v>45661</v>
      </c>
      <c r="C5" s="2" t="str">
        <f>TEXT(CompanySales[[#This Row],[Date]],"MMM-YYYY")</f>
        <v>Jan-2025</v>
      </c>
      <c r="D5" s="3" t="s">
        <v>11</v>
      </c>
      <c r="E5" s="3" t="s">
        <v>12</v>
      </c>
      <c r="F5" s="3" t="s">
        <v>23</v>
      </c>
      <c r="G5" t="s">
        <v>32</v>
      </c>
      <c r="H5" s="3">
        <v>2</v>
      </c>
      <c r="I5" s="3">
        <v>150</v>
      </c>
      <c r="J5">
        <f>CompanySales[[#This Row],[Quantity]]*CompanySales[[#This Row],[Price]]</f>
        <v>300</v>
      </c>
      <c r="K5">
        <f>CompanySales[[#This Row],[Sales]]*0.7</f>
        <v>210</v>
      </c>
      <c r="L5">
        <f>CompanySales[[#This Row],[Sales]]-CompanySales[[#This Row],[Cost]]</f>
        <v>90</v>
      </c>
    </row>
    <row r="6" spans="1:16" x14ac:dyDescent="0.3">
      <c r="A6" s="7">
        <v>1005</v>
      </c>
      <c r="B6" s="2">
        <v>45662</v>
      </c>
      <c r="C6" s="2" t="str">
        <f>TEXT(CompanySales[[#This Row],[Date]],"MMM-YYYY")</f>
        <v>Jan-2025</v>
      </c>
      <c r="D6" s="3" t="s">
        <v>5</v>
      </c>
      <c r="E6" s="3" t="s">
        <v>6</v>
      </c>
      <c r="F6" s="3" t="s">
        <v>24</v>
      </c>
      <c r="G6" t="s">
        <v>29</v>
      </c>
      <c r="H6" s="3">
        <v>8</v>
      </c>
      <c r="I6" s="3">
        <v>900</v>
      </c>
      <c r="J6">
        <f>CompanySales[[#This Row],[Quantity]]*CompanySales[[#This Row],[Price]]</f>
        <v>7200</v>
      </c>
      <c r="K6">
        <f>CompanySales[[#This Row],[Sales]]*0.7</f>
        <v>5040</v>
      </c>
      <c r="L6">
        <f>CompanySales[[#This Row],[Sales]]-CompanySales[[#This Row],[Cost]]</f>
        <v>2160</v>
      </c>
    </row>
    <row r="7" spans="1:16" x14ac:dyDescent="0.3">
      <c r="A7" s="7">
        <v>1006</v>
      </c>
      <c r="B7" s="1">
        <v>45663</v>
      </c>
      <c r="C7" s="1" t="str">
        <f>TEXT(CompanySales[[#This Row],[Date]],"MMM-YYYY")</f>
        <v>Jan-2025</v>
      </c>
      <c r="D7" t="s">
        <v>9</v>
      </c>
      <c r="E7" t="s">
        <v>8</v>
      </c>
      <c r="F7" t="s">
        <v>25</v>
      </c>
      <c r="G7" t="s">
        <v>27</v>
      </c>
      <c r="H7">
        <v>6</v>
      </c>
      <c r="I7">
        <v>20</v>
      </c>
      <c r="J7">
        <f>CompanySales[[#This Row],[Quantity]]*CompanySales[[#This Row],[Price]]</f>
        <v>120</v>
      </c>
      <c r="K7">
        <f>CompanySales[[#This Row],[Sales]]*0.7</f>
        <v>84</v>
      </c>
      <c r="L7">
        <f>CompanySales[[#This Row],[Sales]]-CompanySales[[#This Row],[Cost]]</f>
        <v>36</v>
      </c>
    </row>
    <row r="8" spans="1:16" x14ac:dyDescent="0.3">
      <c r="A8" s="7">
        <v>1007</v>
      </c>
      <c r="B8" s="1">
        <v>45664</v>
      </c>
      <c r="C8" s="1" t="str">
        <f>TEXT(CompanySales[[#This Row],[Date]],"MMM-YYYY")</f>
        <v>Jan-2025</v>
      </c>
      <c r="D8" t="s">
        <v>7</v>
      </c>
      <c r="E8" t="s">
        <v>12</v>
      </c>
      <c r="F8" t="s">
        <v>26</v>
      </c>
      <c r="G8" t="s">
        <v>29</v>
      </c>
      <c r="H8">
        <v>13</v>
      </c>
      <c r="I8">
        <v>200</v>
      </c>
      <c r="J8">
        <f>CompanySales[[#This Row],[Quantity]]*CompanySales[[#This Row],[Price]]</f>
        <v>2600</v>
      </c>
      <c r="K8">
        <f>CompanySales[[#This Row],[Sales]]*0.7</f>
        <v>1819.9999999999998</v>
      </c>
      <c r="L8">
        <f>CompanySales[[#This Row],[Sales]]-CompanySales[[#This Row],[Cost]]</f>
        <v>780.00000000000023</v>
      </c>
    </row>
    <row r="9" spans="1:16" x14ac:dyDescent="0.3">
      <c r="A9" s="7">
        <v>1008</v>
      </c>
      <c r="B9" s="1">
        <v>45665</v>
      </c>
      <c r="C9" s="1" t="str">
        <f>TEXT(CompanySales[[#This Row],[Date]],"MMM-YYYY")</f>
        <v>Jan-2025</v>
      </c>
      <c r="D9" t="s">
        <v>11</v>
      </c>
      <c r="E9" t="s">
        <v>10</v>
      </c>
      <c r="F9" t="s">
        <v>28</v>
      </c>
      <c r="G9" t="s">
        <v>27</v>
      </c>
      <c r="H9">
        <v>4</v>
      </c>
      <c r="I9">
        <v>45</v>
      </c>
      <c r="J9">
        <f>CompanySales[[#This Row],[Quantity]]*CompanySales[[#This Row],[Price]]</f>
        <v>180</v>
      </c>
      <c r="K9">
        <f>CompanySales[[#This Row],[Sales]]*0.7</f>
        <v>125.99999999999999</v>
      </c>
      <c r="L9">
        <f>CompanySales[[#This Row],[Sales]]-CompanySales[[#This Row],[Cost]]</f>
        <v>54.000000000000014</v>
      </c>
      <c r="P9" s="1"/>
    </row>
    <row r="10" spans="1:16" x14ac:dyDescent="0.3">
      <c r="A10" s="7">
        <v>1009</v>
      </c>
      <c r="B10" s="1">
        <v>45666</v>
      </c>
      <c r="C10" s="1" t="str">
        <f>TEXT(CompanySales[[#This Row],[Date]],"MMM-YYYY")</f>
        <v>Jan-2025</v>
      </c>
      <c r="D10" t="s">
        <v>5</v>
      </c>
      <c r="E10" t="s">
        <v>8</v>
      </c>
      <c r="F10" t="s">
        <v>30</v>
      </c>
      <c r="G10" t="s">
        <v>32</v>
      </c>
      <c r="H10">
        <v>18</v>
      </c>
      <c r="I10">
        <v>20</v>
      </c>
      <c r="J10">
        <f>CompanySales[[#This Row],[Quantity]]*CompanySales[[#This Row],[Price]]</f>
        <v>360</v>
      </c>
      <c r="K10">
        <f>CompanySales[[#This Row],[Sales]]*0.7</f>
        <v>251.99999999999997</v>
      </c>
      <c r="L10">
        <f>CompanySales[[#This Row],[Sales]]-CompanySales[[#This Row],[Cost]]</f>
        <v>108.00000000000003</v>
      </c>
      <c r="P10" s="1"/>
    </row>
    <row r="11" spans="1:16" x14ac:dyDescent="0.3">
      <c r="A11" s="7">
        <v>1010</v>
      </c>
      <c r="B11" s="1">
        <v>45667</v>
      </c>
      <c r="C11" s="1" t="str">
        <f>TEXT(CompanySales[[#This Row],[Date]],"MMM-YYYY")</f>
        <v>Jan-2025</v>
      </c>
      <c r="D11" t="s">
        <v>9</v>
      </c>
      <c r="E11" t="s">
        <v>6</v>
      </c>
      <c r="F11" t="s">
        <v>31</v>
      </c>
      <c r="G11" t="s">
        <v>29</v>
      </c>
      <c r="H11">
        <v>2</v>
      </c>
      <c r="I11">
        <v>900</v>
      </c>
      <c r="J11">
        <f>CompanySales[[#This Row],[Quantity]]*CompanySales[[#This Row],[Price]]</f>
        <v>1800</v>
      </c>
      <c r="K11">
        <f>CompanySales[[#This Row],[Sales]]*0.7</f>
        <v>1260</v>
      </c>
      <c r="L11">
        <f>CompanySales[[#This Row],[Sales]]-CompanySales[[#This Row],[Cost]]</f>
        <v>540</v>
      </c>
      <c r="P11" s="1"/>
    </row>
    <row r="12" spans="1:16" x14ac:dyDescent="0.3">
      <c r="A12" s="7">
        <v>1011</v>
      </c>
      <c r="B12" s="1">
        <v>45668</v>
      </c>
      <c r="C12" s="1" t="str">
        <f>TEXT(CompanySales[[#This Row],[Date]],"MMM-YYYY")</f>
        <v>Jan-2025</v>
      </c>
      <c r="D12" t="s">
        <v>7</v>
      </c>
      <c r="E12" t="s">
        <v>10</v>
      </c>
      <c r="F12" t="s">
        <v>33</v>
      </c>
      <c r="G12" t="s">
        <v>27</v>
      </c>
      <c r="H12">
        <v>6</v>
      </c>
      <c r="I12">
        <v>45</v>
      </c>
      <c r="J12">
        <f>CompanySales[[#This Row],[Quantity]]*CompanySales[[#This Row],[Price]]</f>
        <v>270</v>
      </c>
      <c r="K12">
        <f>CompanySales[[#This Row],[Sales]]*0.7</f>
        <v>189</v>
      </c>
      <c r="L12">
        <f>CompanySales[[#This Row],[Sales]]-CompanySales[[#This Row],[Cost]]</f>
        <v>81</v>
      </c>
      <c r="P12" s="1"/>
    </row>
    <row r="13" spans="1:16" x14ac:dyDescent="0.3">
      <c r="A13" s="7">
        <v>1012</v>
      </c>
      <c r="B13" s="1">
        <v>45669</v>
      </c>
      <c r="C13" s="1" t="str">
        <f>TEXT(CompanySales[[#This Row],[Date]],"MMM-YYYY")</f>
        <v>Jan-2025</v>
      </c>
      <c r="D13" t="s">
        <v>11</v>
      </c>
      <c r="E13" t="s">
        <v>12</v>
      </c>
      <c r="F13" t="s">
        <v>34</v>
      </c>
      <c r="G13" t="s">
        <v>32</v>
      </c>
      <c r="H13">
        <v>1</v>
      </c>
      <c r="I13">
        <v>150</v>
      </c>
      <c r="J13">
        <f>CompanySales[[#This Row],[Quantity]]*CompanySales[[#This Row],[Price]]</f>
        <v>150</v>
      </c>
      <c r="K13">
        <f>CompanySales[[#This Row],[Sales]]*0.7</f>
        <v>105</v>
      </c>
      <c r="L13">
        <f>CompanySales[[#This Row],[Sales]]-CompanySales[[#This Row],[Cost]]</f>
        <v>45</v>
      </c>
      <c r="P13" s="1"/>
    </row>
    <row r="14" spans="1:16" x14ac:dyDescent="0.3">
      <c r="A14" s="7">
        <v>1013</v>
      </c>
      <c r="B14" s="1">
        <v>45670</v>
      </c>
      <c r="C14" s="1" t="str">
        <f>TEXT(CompanySales[[#This Row],[Date]],"MMM-YYYY")</f>
        <v>Jan-2025</v>
      </c>
      <c r="D14" t="s">
        <v>5</v>
      </c>
      <c r="E14" t="s">
        <v>6</v>
      </c>
      <c r="F14" t="s">
        <v>20</v>
      </c>
      <c r="G14" t="s">
        <v>29</v>
      </c>
      <c r="H14">
        <v>4</v>
      </c>
      <c r="I14">
        <v>900</v>
      </c>
      <c r="J14">
        <f>CompanySales[[#This Row],[Quantity]]*CompanySales[[#This Row],[Price]]</f>
        <v>3600</v>
      </c>
      <c r="K14">
        <f>CompanySales[[#This Row],[Sales]]*0.7</f>
        <v>2520</v>
      </c>
      <c r="L14">
        <f>CompanySales[[#This Row],[Sales]]-CompanySales[[#This Row],[Cost]]</f>
        <v>1080</v>
      </c>
      <c r="P14" s="1"/>
    </row>
    <row r="15" spans="1:16" x14ac:dyDescent="0.3">
      <c r="A15" s="7">
        <v>1014</v>
      </c>
      <c r="B15" s="1">
        <v>45671</v>
      </c>
      <c r="C15" s="1" t="str">
        <f>TEXT(CompanySales[[#This Row],[Date]],"MMM-YYYY")</f>
        <v>Jan-2025</v>
      </c>
      <c r="D15" t="s">
        <v>9</v>
      </c>
      <c r="E15" t="s">
        <v>8</v>
      </c>
      <c r="F15" t="s">
        <v>35</v>
      </c>
      <c r="G15" t="s">
        <v>27</v>
      </c>
      <c r="H15">
        <v>12</v>
      </c>
      <c r="I15">
        <v>20</v>
      </c>
      <c r="J15">
        <f>CompanySales[[#This Row],[Quantity]]*CompanySales[[#This Row],[Price]]</f>
        <v>240</v>
      </c>
      <c r="K15">
        <f>CompanySales[[#This Row],[Sales]]*0.7</f>
        <v>168</v>
      </c>
      <c r="L15">
        <f>CompanySales[[#This Row],[Sales]]-CompanySales[[#This Row],[Cost]]</f>
        <v>72</v>
      </c>
      <c r="P15" s="1"/>
    </row>
    <row r="16" spans="1:16" x14ac:dyDescent="0.3">
      <c r="A16" s="7">
        <v>1015</v>
      </c>
      <c r="B16" s="1">
        <v>45672</v>
      </c>
      <c r="C16" s="1" t="str">
        <f>TEXT(CompanySales[[#This Row],[Date]],"MMM-YYYY")</f>
        <v>Jan-2025</v>
      </c>
      <c r="D16" t="s">
        <v>7</v>
      </c>
      <c r="E16" t="s">
        <v>10</v>
      </c>
      <c r="F16" t="s">
        <v>36</v>
      </c>
      <c r="G16" t="s">
        <v>32</v>
      </c>
      <c r="H16">
        <v>17</v>
      </c>
      <c r="I16">
        <v>45</v>
      </c>
      <c r="J16">
        <f>CompanySales[[#This Row],[Quantity]]*CompanySales[[#This Row],[Price]]</f>
        <v>765</v>
      </c>
      <c r="K16">
        <f>CompanySales[[#This Row],[Sales]]*0.7</f>
        <v>535.5</v>
      </c>
      <c r="L16">
        <f>CompanySales[[#This Row],[Sales]]-CompanySales[[#This Row],[Cost]]</f>
        <v>229.5</v>
      </c>
      <c r="P16" s="1"/>
    </row>
    <row r="17" spans="1:16" x14ac:dyDescent="0.3">
      <c r="A17" s="7">
        <v>1016</v>
      </c>
      <c r="B17" s="1">
        <v>45673</v>
      </c>
      <c r="C17" s="1" t="str">
        <f>TEXT(CompanySales[[#This Row],[Date]],"MMM-YYYY")</f>
        <v>Jan-2025</v>
      </c>
      <c r="D17" t="s">
        <v>11</v>
      </c>
      <c r="E17" t="s">
        <v>6</v>
      </c>
      <c r="F17" t="s">
        <v>37</v>
      </c>
      <c r="G17" t="s">
        <v>29</v>
      </c>
      <c r="H17">
        <v>2</v>
      </c>
      <c r="I17">
        <v>900</v>
      </c>
      <c r="J17">
        <f>CompanySales[[#This Row],[Quantity]]*CompanySales[[#This Row],[Price]]</f>
        <v>1800</v>
      </c>
      <c r="K17">
        <f>CompanySales[[#This Row],[Sales]]*0.7</f>
        <v>1260</v>
      </c>
      <c r="L17">
        <f>CompanySales[[#This Row],[Sales]]-CompanySales[[#This Row],[Cost]]</f>
        <v>540</v>
      </c>
      <c r="P17" s="1"/>
    </row>
    <row r="18" spans="1:16" x14ac:dyDescent="0.3">
      <c r="A18" s="7">
        <v>1017</v>
      </c>
      <c r="B18" s="1">
        <v>45674</v>
      </c>
      <c r="C18" s="1" t="str">
        <f>TEXT(CompanySales[[#This Row],[Date]],"MMM-YYYY")</f>
        <v>Jan-2025</v>
      </c>
      <c r="D18" t="s">
        <v>5</v>
      </c>
      <c r="E18" t="s">
        <v>12</v>
      </c>
      <c r="F18" t="s">
        <v>38</v>
      </c>
      <c r="G18" t="s">
        <v>27</v>
      </c>
      <c r="H18">
        <v>3</v>
      </c>
      <c r="I18">
        <v>150</v>
      </c>
      <c r="J18">
        <f>CompanySales[[#This Row],[Quantity]]*CompanySales[[#This Row],[Price]]</f>
        <v>450</v>
      </c>
      <c r="K18">
        <f>CompanySales[[#This Row],[Sales]]*0.7</f>
        <v>315</v>
      </c>
      <c r="L18">
        <f>CompanySales[[#This Row],[Sales]]-CompanySales[[#This Row],[Cost]]</f>
        <v>135</v>
      </c>
      <c r="P18" s="1"/>
    </row>
    <row r="19" spans="1:16" x14ac:dyDescent="0.3">
      <c r="A19" s="7">
        <v>1018</v>
      </c>
      <c r="B19" s="1">
        <v>45675</v>
      </c>
      <c r="C19" s="1" t="str">
        <f>TEXT(CompanySales[[#This Row],[Date]],"MMM-YYYY")</f>
        <v>Jan-2025</v>
      </c>
      <c r="D19" t="s">
        <v>9</v>
      </c>
      <c r="E19" t="s">
        <v>10</v>
      </c>
      <c r="F19" t="s">
        <v>39</v>
      </c>
      <c r="G19" t="s">
        <v>29</v>
      </c>
      <c r="H19">
        <v>5</v>
      </c>
      <c r="I19">
        <v>45</v>
      </c>
      <c r="J19">
        <f>CompanySales[[#This Row],[Quantity]]*CompanySales[[#This Row],[Price]]</f>
        <v>225</v>
      </c>
      <c r="K19">
        <f>CompanySales[[#This Row],[Sales]]*0.7</f>
        <v>157.5</v>
      </c>
      <c r="L19">
        <f>CompanySales[[#This Row],[Sales]]-CompanySales[[#This Row],[Cost]]</f>
        <v>67.5</v>
      </c>
      <c r="O19" s="8"/>
      <c r="P19" s="1"/>
    </row>
    <row r="20" spans="1:16" x14ac:dyDescent="0.3">
      <c r="A20" s="7">
        <v>1019</v>
      </c>
      <c r="B20" s="1">
        <v>45676</v>
      </c>
      <c r="C20" s="1" t="str">
        <f>TEXT(CompanySales[[#This Row],[Date]],"MMM-YYYY")</f>
        <v>Jan-2025</v>
      </c>
      <c r="D20" t="s">
        <v>7</v>
      </c>
      <c r="E20" t="s">
        <v>8</v>
      </c>
      <c r="F20" t="s">
        <v>40</v>
      </c>
      <c r="G20" t="s">
        <v>27</v>
      </c>
      <c r="H20">
        <v>15</v>
      </c>
      <c r="I20">
        <v>20</v>
      </c>
      <c r="J20">
        <f>CompanySales[[#This Row],[Quantity]]*CompanySales[[#This Row],[Price]]</f>
        <v>300</v>
      </c>
      <c r="K20">
        <f>CompanySales[[#This Row],[Sales]]*0.7</f>
        <v>210</v>
      </c>
      <c r="L20">
        <f>CompanySales[[#This Row],[Sales]]-CompanySales[[#This Row],[Cost]]</f>
        <v>90</v>
      </c>
      <c r="P20" s="1"/>
    </row>
    <row r="21" spans="1:16" x14ac:dyDescent="0.3">
      <c r="A21" s="7">
        <v>1020</v>
      </c>
      <c r="B21" s="1">
        <v>45677</v>
      </c>
      <c r="C21" s="1" t="str">
        <f>TEXT(CompanySales[[#This Row],[Date]],"MMM-YYYY")</f>
        <v>Jan-2025</v>
      </c>
      <c r="D21" t="s">
        <v>11</v>
      </c>
      <c r="E21" t="s">
        <v>12</v>
      </c>
      <c r="F21" t="s">
        <v>41</v>
      </c>
      <c r="G21" t="s">
        <v>32</v>
      </c>
      <c r="H21">
        <v>2</v>
      </c>
      <c r="I21">
        <v>150</v>
      </c>
      <c r="J21">
        <f>CompanySales[[#This Row],[Quantity]]*CompanySales[[#This Row],[Price]]</f>
        <v>300</v>
      </c>
      <c r="K21">
        <f>CompanySales[[#This Row],[Sales]]*0.7</f>
        <v>210</v>
      </c>
      <c r="L21">
        <f>CompanySales[[#This Row],[Sales]]-CompanySales[[#This Row],[Cost]]</f>
        <v>90</v>
      </c>
      <c r="P21" s="1"/>
    </row>
    <row r="22" spans="1:16" x14ac:dyDescent="0.3">
      <c r="A22" s="7">
        <v>1021</v>
      </c>
      <c r="B22" s="1">
        <v>45689</v>
      </c>
      <c r="C22" s="1" t="str">
        <f>TEXT(CompanySales[[#This Row],[Date]],"MMM-YYYY")</f>
        <v>Feb-2025</v>
      </c>
      <c r="D22" t="s">
        <v>5</v>
      </c>
      <c r="E22" t="s">
        <v>6</v>
      </c>
      <c r="F22" t="s">
        <v>42</v>
      </c>
      <c r="G22" t="s">
        <v>27</v>
      </c>
      <c r="H22">
        <v>3</v>
      </c>
      <c r="I22">
        <v>900</v>
      </c>
      <c r="J22">
        <f>CompanySales[[#This Row],[Quantity]]*CompanySales[[#This Row],[Price]]</f>
        <v>2700</v>
      </c>
      <c r="K22">
        <f>CompanySales[[#This Row],[Sales]]*0.7</f>
        <v>1889.9999999999998</v>
      </c>
      <c r="L22">
        <f>CompanySales[[#This Row],[Sales]]-CompanySales[[#This Row],[Cost]]</f>
        <v>810.00000000000023</v>
      </c>
      <c r="P22" s="1"/>
    </row>
    <row r="23" spans="1:16" x14ac:dyDescent="0.3">
      <c r="A23" s="7">
        <v>1022</v>
      </c>
      <c r="B23" s="1">
        <v>45690</v>
      </c>
      <c r="C23" s="1" t="str">
        <f>TEXT(CompanySales[[#This Row],[Date]],"MMM-YYYY")</f>
        <v>Feb-2025</v>
      </c>
      <c r="D23" t="s">
        <v>7</v>
      </c>
      <c r="E23" t="s">
        <v>8</v>
      </c>
      <c r="F23" t="s">
        <v>43</v>
      </c>
      <c r="G23" t="s">
        <v>29</v>
      </c>
      <c r="H23">
        <v>9</v>
      </c>
      <c r="I23">
        <v>20</v>
      </c>
      <c r="J23">
        <f>CompanySales[[#This Row],[Quantity]]*CompanySales[[#This Row],[Price]]</f>
        <v>180</v>
      </c>
      <c r="K23">
        <f>CompanySales[[#This Row],[Sales]]*0.7</f>
        <v>125.99999999999999</v>
      </c>
      <c r="L23">
        <f>CompanySales[[#This Row],[Sales]]-CompanySales[[#This Row],[Cost]]</f>
        <v>54.000000000000014</v>
      </c>
      <c r="P23" s="1"/>
    </row>
    <row r="24" spans="1:16" x14ac:dyDescent="0.3">
      <c r="A24" s="7">
        <v>1023</v>
      </c>
      <c r="B24" s="1">
        <v>45691</v>
      </c>
      <c r="C24" s="1" t="str">
        <f>TEXT(CompanySales[[#This Row],[Date]],"MMM-YYYY")</f>
        <v>Feb-2025</v>
      </c>
      <c r="D24" t="s">
        <v>9</v>
      </c>
      <c r="E24" t="s">
        <v>10</v>
      </c>
      <c r="F24" t="s">
        <v>44</v>
      </c>
      <c r="G24" t="s">
        <v>27</v>
      </c>
      <c r="H24">
        <v>4</v>
      </c>
      <c r="I24">
        <v>45</v>
      </c>
      <c r="J24">
        <f>CompanySales[[#This Row],[Quantity]]*CompanySales[[#This Row],[Price]]</f>
        <v>180</v>
      </c>
      <c r="K24">
        <f>CompanySales[[#This Row],[Sales]]*0.7</f>
        <v>125.99999999999999</v>
      </c>
      <c r="L24">
        <f>CompanySales[[#This Row],[Sales]]-CompanySales[[#This Row],[Cost]]</f>
        <v>54.000000000000014</v>
      </c>
      <c r="P24" s="1"/>
    </row>
    <row r="25" spans="1:16" x14ac:dyDescent="0.3">
      <c r="A25" s="7">
        <v>1024</v>
      </c>
      <c r="B25" s="1">
        <v>45692</v>
      </c>
      <c r="C25" s="1" t="str">
        <f>TEXT(CompanySales[[#This Row],[Date]],"MMM-YYYY")</f>
        <v>Feb-2025</v>
      </c>
      <c r="D25" t="s">
        <v>11</v>
      </c>
      <c r="E25" t="s">
        <v>12</v>
      </c>
      <c r="F25" t="s">
        <v>45</v>
      </c>
      <c r="G25" t="s">
        <v>32</v>
      </c>
      <c r="H25">
        <v>3</v>
      </c>
      <c r="I25">
        <v>150</v>
      </c>
      <c r="J25">
        <f>CompanySales[[#This Row],[Quantity]]*CompanySales[[#This Row],[Price]]</f>
        <v>450</v>
      </c>
      <c r="K25">
        <f>CompanySales[[#This Row],[Sales]]*0.7</f>
        <v>315</v>
      </c>
      <c r="L25">
        <f>CompanySales[[#This Row],[Sales]]-CompanySales[[#This Row],[Cost]]</f>
        <v>135</v>
      </c>
      <c r="P25" s="1"/>
    </row>
    <row r="26" spans="1:16" x14ac:dyDescent="0.3">
      <c r="A26" s="7">
        <v>1025</v>
      </c>
      <c r="B26" s="1">
        <v>45693</v>
      </c>
      <c r="C26" s="1" t="str">
        <f>TEXT(CompanySales[[#This Row],[Date]],"MMM-YYYY")</f>
        <v>Feb-2025</v>
      </c>
      <c r="D26" t="s">
        <v>5</v>
      </c>
      <c r="E26" t="s">
        <v>8</v>
      </c>
      <c r="F26" t="s">
        <v>46</v>
      </c>
      <c r="G26" t="s">
        <v>29</v>
      </c>
      <c r="H26">
        <v>10</v>
      </c>
      <c r="I26">
        <v>20</v>
      </c>
      <c r="J26">
        <f>CompanySales[[#This Row],[Quantity]]*CompanySales[[#This Row],[Price]]</f>
        <v>200</v>
      </c>
      <c r="K26">
        <f>CompanySales[[#This Row],[Sales]]*0.7</f>
        <v>140</v>
      </c>
      <c r="L26">
        <f>CompanySales[[#This Row],[Sales]]-CompanySales[[#This Row],[Cost]]</f>
        <v>60</v>
      </c>
      <c r="P26" s="1"/>
    </row>
    <row r="27" spans="1:16" x14ac:dyDescent="0.3">
      <c r="A27" s="7">
        <v>1026</v>
      </c>
      <c r="B27" s="1">
        <v>45694</v>
      </c>
      <c r="C27" s="1" t="str">
        <f>TEXT(CompanySales[[#This Row],[Date]],"MMM-YYYY")</f>
        <v>Feb-2025</v>
      </c>
      <c r="D27" t="s">
        <v>9</v>
      </c>
      <c r="E27" t="s">
        <v>6</v>
      </c>
      <c r="F27" t="s">
        <v>47</v>
      </c>
      <c r="G27" t="s">
        <v>27</v>
      </c>
      <c r="H27">
        <v>1</v>
      </c>
      <c r="I27">
        <v>900</v>
      </c>
      <c r="J27">
        <f>CompanySales[[#This Row],[Quantity]]*CompanySales[[#This Row],[Price]]</f>
        <v>900</v>
      </c>
      <c r="K27">
        <f>CompanySales[[#This Row],[Sales]]*0.7</f>
        <v>630</v>
      </c>
      <c r="L27">
        <f>CompanySales[[#This Row],[Sales]]-CompanySales[[#This Row],[Cost]]</f>
        <v>270</v>
      </c>
      <c r="P27" s="1"/>
    </row>
    <row r="28" spans="1:16" x14ac:dyDescent="0.3">
      <c r="A28" s="7">
        <v>1027</v>
      </c>
      <c r="B28" s="1">
        <v>45695</v>
      </c>
      <c r="C28" s="1" t="str">
        <f>TEXT(CompanySales[[#This Row],[Date]],"MMM-YYYY")</f>
        <v>Feb-2025</v>
      </c>
      <c r="D28" t="s">
        <v>7</v>
      </c>
      <c r="E28" t="s">
        <v>12</v>
      </c>
      <c r="F28" t="s">
        <v>26</v>
      </c>
      <c r="G28" t="s">
        <v>32</v>
      </c>
      <c r="H28">
        <v>2</v>
      </c>
      <c r="I28">
        <v>150</v>
      </c>
      <c r="J28">
        <f>CompanySales[[#This Row],[Quantity]]*CompanySales[[#This Row],[Price]]</f>
        <v>300</v>
      </c>
      <c r="K28">
        <f>CompanySales[[#This Row],[Sales]]*0.7</f>
        <v>210</v>
      </c>
      <c r="L28">
        <f>CompanySales[[#This Row],[Sales]]-CompanySales[[#This Row],[Cost]]</f>
        <v>90</v>
      </c>
      <c r="P28" s="1"/>
    </row>
    <row r="29" spans="1:16" x14ac:dyDescent="0.3">
      <c r="A29" s="7">
        <v>1028</v>
      </c>
      <c r="B29" s="1">
        <v>45696</v>
      </c>
      <c r="C29" s="1" t="str">
        <f>TEXT(CompanySales[[#This Row],[Date]],"MMM-YYYY")</f>
        <v>Feb-2025</v>
      </c>
      <c r="D29" t="s">
        <v>11</v>
      </c>
      <c r="E29" t="s">
        <v>10</v>
      </c>
      <c r="F29" t="s">
        <v>28</v>
      </c>
      <c r="G29" t="s">
        <v>29</v>
      </c>
      <c r="H29">
        <v>6</v>
      </c>
      <c r="I29">
        <v>45</v>
      </c>
      <c r="J29">
        <f>CompanySales[[#This Row],[Quantity]]*CompanySales[[#This Row],[Price]]</f>
        <v>270</v>
      </c>
      <c r="K29">
        <f>CompanySales[[#This Row],[Sales]]*0.7</f>
        <v>189</v>
      </c>
      <c r="L29">
        <f>CompanySales[[#This Row],[Sales]]-CompanySales[[#This Row],[Cost]]</f>
        <v>81</v>
      </c>
      <c r="P29" s="1"/>
    </row>
    <row r="30" spans="1:16" x14ac:dyDescent="0.3">
      <c r="A30" s="7">
        <v>1029</v>
      </c>
      <c r="B30" s="1">
        <v>45697</v>
      </c>
      <c r="C30" s="1" t="str">
        <f>TEXT(CompanySales[[#This Row],[Date]],"MMM-YYYY")</f>
        <v>Feb-2025</v>
      </c>
      <c r="D30" t="s">
        <v>5</v>
      </c>
      <c r="E30" t="s">
        <v>6</v>
      </c>
      <c r="F30" t="s">
        <v>30</v>
      </c>
      <c r="G30" t="s">
        <v>27</v>
      </c>
      <c r="H30">
        <v>2</v>
      </c>
      <c r="I30">
        <v>900</v>
      </c>
      <c r="J30">
        <f>CompanySales[[#This Row],[Quantity]]*CompanySales[[#This Row],[Price]]</f>
        <v>1800</v>
      </c>
      <c r="K30">
        <f>CompanySales[[#This Row],[Sales]]*0.7</f>
        <v>1260</v>
      </c>
      <c r="L30">
        <f>CompanySales[[#This Row],[Sales]]-CompanySales[[#This Row],[Cost]]</f>
        <v>540</v>
      </c>
      <c r="P30" s="1"/>
    </row>
    <row r="31" spans="1:16" x14ac:dyDescent="0.3">
      <c r="A31" s="7">
        <v>1030</v>
      </c>
      <c r="B31" s="1">
        <v>45698</v>
      </c>
      <c r="C31" s="1" t="str">
        <f>TEXT(CompanySales[[#This Row],[Date]],"MMM-YYYY")</f>
        <v>Feb-2025</v>
      </c>
      <c r="D31" t="s">
        <v>9</v>
      </c>
      <c r="E31" t="s">
        <v>8</v>
      </c>
      <c r="F31" t="s">
        <v>31</v>
      </c>
      <c r="G31" t="s">
        <v>29</v>
      </c>
      <c r="H31">
        <v>7</v>
      </c>
      <c r="I31">
        <v>20</v>
      </c>
      <c r="J31">
        <f>CompanySales[[#This Row],[Quantity]]*CompanySales[[#This Row],[Price]]</f>
        <v>140</v>
      </c>
      <c r="K31">
        <f>CompanySales[[#This Row],[Sales]]*0.7</f>
        <v>98</v>
      </c>
      <c r="L31">
        <f>CompanySales[[#This Row],[Sales]]-CompanySales[[#This Row],[Cost]]</f>
        <v>42</v>
      </c>
      <c r="P31" s="1"/>
    </row>
    <row r="32" spans="1:16" x14ac:dyDescent="0.3">
      <c r="A32" s="7">
        <v>1031</v>
      </c>
      <c r="B32" s="1">
        <v>45699</v>
      </c>
      <c r="C32" s="1" t="str">
        <f>TEXT(CompanySales[[#This Row],[Date]],"MMM-YYYY")</f>
        <v>Feb-2025</v>
      </c>
      <c r="D32" t="s">
        <v>7</v>
      </c>
      <c r="E32" t="s">
        <v>10</v>
      </c>
      <c r="F32" t="s">
        <v>33</v>
      </c>
      <c r="G32" t="s">
        <v>32</v>
      </c>
      <c r="H32">
        <v>5</v>
      </c>
      <c r="I32">
        <v>45</v>
      </c>
      <c r="J32">
        <f>CompanySales[[#This Row],[Quantity]]*CompanySales[[#This Row],[Price]]</f>
        <v>225</v>
      </c>
      <c r="K32">
        <f>CompanySales[[#This Row],[Sales]]*0.7</f>
        <v>157.5</v>
      </c>
      <c r="L32">
        <f>CompanySales[[#This Row],[Sales]]-CompanySales[[#This Row],[Cost]]</f>
        <v>67.5</v>
      </c>
      <c r="P32" s="1"/>
    </row>
    <row r="33" spans="1:16" x14ac:dyDescent="0.3">
      <c r="A33" s="7">
        <v>1032</v>
      </c>
      <c r="B33" s="1">
        <v>45700</v>
      </c>
      <c r="C33" s="1" t="str">
        <f>TEXT(CompanySales[[#This Row],[Date]],"MMM-YYYY")</f>
        <v>Feb-2025</v>
      </c>
      <c r="D33" t="s">
        <v>11</v>
      </c>
      <c r="E33" t="s">
        <v>12</v>
      </c>
      <c r="F33" t="s">
        <v>34</v>
      </c>
      <c r="G33" t="s">
        <v>27</v>
      </c>
      <c r="H33">
        <v>4</v>
      </c>
      <c r="I33">
        <v>150</v>
      </c>
      <c r="J33">
        <f>CompanySales[[#This Row],[Quantity]]*CompanySales[[#This Row],[Price]]</f>
        <v>600</v>
      </c>
      <c r="K33">
        <f>CompanySales[[#This Row],[Sales]]*0.7</f>
        <v>420</v>
      </c>
      <c r="L33">
        <f>CompanySales[[#This Row],[Sales]]-CompanySales[[#This Row],[Cost]]</f>
        <v>180</v>
      </c>
      <c r="P33" s="1"/>
    </row>
    <row r="34" spans="1:16" x14ac:dyDescent="0.3">
      <c r="A34" s="7">
        <v>1033</v>
      </c>
      <c r="B34" s="1">
        <v>45701</v>
      </c>
      <c r="C34" s="1" t="str">
        <f>TEXT(CompanySales[[#This Row],[Date]],"MMM-YYYY")</f>
        <v>Feb-2025</v>
      </c>
      <c r="D34" t="s">
        <v>5</v>
      </c>
      <c r="E34" t="s">
        <v>8</v>
      </c>
      <c r="F34" t="s">
        <v>20</v>
      </c>
      <c r="G34" t="s">
        <v>29</v>
      </c>
      <c r="H34">
        <v>11</v>
      </c>
      <c r="I34">
        <v>20</v>
      </c>
      <c r="J34">
        <f>CompanySales[[#This Row],[Quantity]]*CompanySales[[#This Row],[Price]]</f>
        <v>220</v>
      </c>
      <c r="K34">
        <f>CompanySales[[#This Row],[Sales]]*0.7</f>
        <v>154</v>
      </c>
      <c r="L34">
        <f>CompanySales[[#This Row],[Sales]]-CompanySales[[#This Row],[Cost]]</f>
        <v>66</v>
      </c>
      <c r="P34" s="1"/>
    </row>
    <row r="35" spans="1:16" x14ac:dyDescent="0.3">
      <c r="A35" s="7">
        <v>1034</v>
      </c>
      <c r="B35" s="1">
        <v>45702</v>
      </c>
      <c r="C35" s="1" t="str">
        <f>TEXT(CompanySales[[#This Row],[Date]],"MMM-YYYY")</f>
        <v>Feb-2025</v>
      </c>
      <c r="D35" t="s">
        <v>9</v>
      </c>
      <c r="E35" t="s">
        <v>6</v>
      </c>
      <c r="F35" t="s">
        <v>35</v>
      </c>
      <c r="G35" t="s">
        <v>27</v>
      </c>
      <c r="H35">
        <v>2</v>
      </c>
      <c r="I35">
        <v>900</v>
      </c>
      <c r="J35">
        <f>CompanySales[[#This Row],[Quantity]]*CompanySales[[#This Row],[Price]]</f>
        <v>1800</v>
      </c>
      <c r="K35">
        <f>CompanySales[[#This Row],[Sales]]*0.7</f>
        <v>1260</v>
      </c>
      <c r="L35">
        <f>CompanySales[[#This Row],[Sales]]-CompanySales[[#This Row],[Cost]]</f>
        <v>540</v>
      </c>
      <c r="P35" s="1"/>
    </row>
    <row r="36" spans="1:16" x14ac:dyDescent="0.3">
      <c r="A36" s="7">
        <v>1035</v>
      </c>
      <c r="B36" s="1">
        <v>45703</v>
      </c>
      <c r="C36" s="1" t="str">
        <f>TEXT(CompanySales[[#This Row],[Date]],"MMM-YYYY")</f>
        <v>Feb-2025</v>
      </c>
      <c r="D36" t="s">
        <v>7</v>
      </c>
      <c r="E36" t="s">
        <v>10</v>
      </c>
      <c r="F36" t="s">
        <v>36</v>
      </c>
      <c r="G36" t="s">
        <v>29</v>
      </c>
      <c r="H36">
        <v>6</v>
      </c>
      <c r="I36">
        <v>45</v>
      </c>
      <c r="J36">
        <f>CompanySales[[#This Row],[Quantity]]*CompanySales[[#This Row],[Price]]</f>
        <v>270</v>
      </c>
      <c r="K36">
        <f>CompanySales[[#This Row],[Sales]]*0.7</f>
        <v>189</v>
      </c>
      <c r="L36">
        <f>CompanySales[[#This Row],[Sales]]-CompanySales[[#This Row],[Cost]]</f>
        <v>81</v>
      </c>
      <c r="P36" s="1"/>
    </row>
    <row r="37" spans="1:16" x14ac:dyDescent="0.3">
      <c r="A37" s="7">
        <v>1036</v>
      </c>
      <c r="B37" s="1">
        <v>45704</v>
      </c>
      <c r="C37" s="1" t="str">
        <f>TEXT(CompanySales[[#This Row],[Date]],"MMM-YYYY")</f>
        <v>Feb-2025</v>
      </c>
      <c r="D37" t="s">
        <v>11</v>
      </c>
      <c r="E37" t="s">
        <v>8</v>
      </c>
      <c r="F37" t="s">
        <v>37</v>
      </c>
      <c r="G37" t="s">
        <v>32</v>
      </c>
      <c r="H37">
        <v>9</v>
      </c>
      <c r="I37">
        <v>20</v>
      </c>
      <c r="J37">
        <f>CompanySales[[#This Row],[Quantity]]*CompanySales[[#This Row],[Price]]</f>
        <v>180</v>
      </c>
      <c r="K37">
        <f>CompanySales[[#This Row],[Sales]]*0.7</f>
        <v>125.99999999999999</v>
      </c>
      <c r="L37">
        <f>CompanySales[[#This Row],[Sales]]-CompanySales[[#This Row],[Cost]]</f>
        <v>54.000000000000014</v>
      </c>
      <c r="P37" s="1"/>
    </row>
    <row r="38" spans="1:16" x14ac:dyDescent="0.3">
      <c r="A38" s="7">
        <v>1037</v>
      </c>
      <c r="B38" s="1">
        <v>45705</v>
      </c>
      <c r="C38" s="1" t="str">
        <f>TEXT(CompanySales[[#This Row],[Date]],"MMM-YYYY")</f>
        <v>Feb-2025</v>
      </c>
      <c r="D38" t="s">
        <v>5</v>
      </c>
      <c r="E38" t="s">
        <v>12</v>
      </c>
      <c r="F38" t="s">
        <v>38</v>
      </c>
      <c r="G38" t="s">
        <v>27</v>
      </c>
      <c r="H38">
        <v>2</v>
      </c>
      <c r="I38">
        <v>150</v>
      </c>
      <c r="J38">
        <f>CompanySales[[#This Row],[Quantity]]*CompanySales[[#This Row],[Price]]</f>
        <v>300</v>
      </c>
      <c r="K38">
        <f>CompanySales[[#This Row],[Sales]]*0.7</f>
        <v>210</v>
      </c>
      <c r="L38">
        <f>CompanySales[[#This Row],[Sales]]-CompanySales[[#This Row],[Cost]]</f>
        <v>90</v>
      </c>
      <c r="P38" s="1"/>
    </row>
    <row r="39" spans="1:16" x14ac:dyDescent="0.3">
      <c r="A39" s="7">
        <v>1038</v>
      </c>
      <c r="B39" s="1">
        <v>45706</v>
      </c>
      <c r="C39" s="1" t="str">
        <f>TEXT(CompanySales[[#This Row],[Date]],"MMM-YYYY")</f>
        <v>Feb-2025</v>
      </c>
      <c r="D39" t="s">
        <v>9</v>
      </c>
      <c r="E39" t="s">
        <v>10</v>
      </c>
      <c r="F39" t="s">
        <v>39</v>
      </c>
      <c r="G39" t="s">
        <v>29</v>
      </c>
      <c r="H39">
        <v>8</v>
      </c>
      <c r="I39">
        <v>45</v>
      </c>
      <c r="J39">
        <f>CompanySales[[#This Row],[Quantity]]*CompanySales[[#This Row],[Price]]</f>
        <v>360</v>
      </c>
      <c r="K39">
        <f>CompanySales[[#This Row],[Sales]]*0.7</f>
        <v>251.99999999999997</v>
      </c>
      <c r="L39">
        <f>CompanySales[[#This Row],[Sales]]-CompanySales[[#This Row],[Cost]]</f>
        <v>108.00000000000003</v>
      </c>
      <c r="P39" s="1"/>
    </row>
    <row r="40" spans="1:16" x14ac:dyDescent="0.3">
      <c r="A40" s="7">
        <v>1039</v>
      </c>
      <c r="B40" s="1">
        <v>45707</v>
      </c>
      <c r="C40" s="1" t="str">
        <f>TEXT(CompanySales[[#This Row],[Date]],"MMM-YYYY")</f>
        <v>Feb-2025</v>
      </c>
      <c r="D40" t="s">
        <v>7</v>
      </c>
      <c r="E40" t="s">
        <v>6</v>
      </c>
      <c r="F40" t="s">
        <v>40</v>
      </c>
      <c r="G40" t="s">
        <v>32</v>
      </c>
      <c r="H40">
        <v>1</v>
      </c>
      <c r="I40">
        <v>900</v>
      </c>
      <c r="J40">
        <f>CompanySales[[#This Row],[Quantity]]*CompanySales[[#This Row],[Price]]</f>
        <v>900</v>
      </c>
      <c r="K40">
        <f>CompanySales[[#This Row],[Sales]]*0.7</f>
        <v>630</v>
      </c>
      <c r="L40">
        <f>CompanySales[[#This Row],[Sales]]-CompanySales[[#This Row],[Cost]]</f>
        <v>270</v>
      </c>
      <c r="P40" s="1"/>
    </row>
    <row r="41" spans="1:16" x14ac:dyDescent="0.3">
      <c r="A41" s="7">
        <v>1040</v>
      </c>
      <c r="B41" s="1">
        <v>45708</v>
      </c>
      <c r="C41" s="1" t="str">
        <f>TEXT(CompanySales[[#This Row],[Date]],"MMM-YYYY")</f>
        <v>Feb-2025</v>
      </c>
      <c r="D41" t="s">
        <v>11</v>
      </c>
      <c r="E41" t="s">
        <v>10</v>
      </c>
      <c r="F41" t="s">
        <v>41</v>
      </c>
      <c r="G41" t="s">
        <v>27</v>
      </c>
      <c r="H41">
        <v>15</v>
      </c>
      <c r="I41">
        <v>200</v>
      </c>
      <c r="J41">
        <f>CompanySales[[#This Row],[Quantity]]*CompanySales[[#This Row],[Price]]</f>
        <v>3000</v>
      </c>
      <c r="K41">
        <f>CompanySales[[#This Row],[Sales]]*0.7</f>
        <v>2100</v>
      </c>
      <c r="L41">
        <f>CompanySales[[#This Row],[Sales]]-CompanySales[[#This Row],[Cost]]</f>
        <v>900</v>
      </c>
      <c r="P41" s="1"/>
    </row>
    <row r="42" spans="1:16" x14ac:dyDescent="0.3">
      <c r="A42" s="7">
        <v>1041</v>
      </c>
      <c r="B42" s="1">
        <v>45717</v>
      </c>
      <c r="C42" s="1" t="str">
        <f>TEXT(CompanySales[[#This Row],[Date]],"MMM-YYYY")</f>
        <v>Mar-2025</v>
      </c>
      <c r="D42" t="s">
        <v>5</v>
      </c>
      <c r="E42" t="s">
        <v>6</v>
      </c>
      <c r="F42" t="s">
        <v>42</v>
      </c>
      <c r="G42" t="s">
        <v>29</v>
      </c>
      <c r="H42">
        <v>5</v>
      </c>
      <c r="I42">
        <v>900</v>
      </c>
      <c r="J42">
        <f>CompanySales[[#This Row],[Quantity]]*CompanySales[[#This Row],[Price]]</f>
        <v>4500</v>
      </c>
      <c r="K42">
        <f>CompanySales[[#This Row],[Sales]]*0.7</f>
        <v>3150</v>
      </c>
      <c r="L42">
        <f>CompanySales[[#This Row],[Sales]]-CompanySales[[#This Row],[Cost]]</f>
        <v>1350</v>
      </c>
      <c r="P42" s="1"/>
    </row>
    <row r="43" spans="1:16" x14ac:dyDescent="0.3">
      <c r="A43" s="7">
        <v>1042</v>
      </c>
      <c r="B43" s="1">
        <v>45718</v>
      </c>
      <c r="C43" s="1" t="str">
        <f>TEXT(CompanySales[[#This Row],[Date]],"MMM-YYYY")</f>
        <v>Mar-2025</v>
      </c>
      <c r="D43" t="s">
        <v>7</v>
      </c>
      <c r="E43" t="s">
        <v>8</v>
      </c>
      <c r="F43" t="s">
        <v>43</v>
      </c>
      <c r="G43" t="s">
        <v>27</v>
      </c>
      <c r="H43">
        <v>14</v>
      </c>
      <c r="I43">
        <v>20</v>
      </c>
      <c r="J43">
        <f>CompanySales[[#This Row],[Quantity]]*CompanySales[[#This Row],[Price]]</f>
        <v>280</v>
      </c>
      <c r="K43">
        <f>CompanySales[[#This Row],[Sales]]*0.7</f>
        <v>196</v>
      </c>
      <c r="L43">
        <f>CompanySales[[#This Row],[Sales]]-CompanySales[[#This Row],[Cost]]</f>
        <v>84</v>
      </c>
      <c r="P43" s="1"/>
    </row>
    <row r="44" spans="1:16" x14ac:dyDescent="0.3">
      <c r="A44" s="7">
        <v>1043</v>
      </c>
      <c r="B44" s="1">
        <v>45719</v>
      </c>
      <c r="C44" s="1" t="str">
        <f>TEXT(CompanySales[[#This Row],[Date]],"MMM-YYYY")</f>
        <v>Mar-2025</v>
      </c>
      <c r="D44" t="s">
        <v>9</v>
      </c>
      <c r="E44" t="s">
        <v>10</v>
      </c>
      <c r="F44" t="s">
        <v>44</v>
      </c>
      <c r="G44" t="s">
        <v>32</v>
      </c>
      <c r="H44">
        <v>6</v>
      </c>
      <c r="I44">
        <v>45</v>
      </c>
      <c r="J44">
        <f>CompanySales[[#This Row],[Quantity]]*CompanySales[[#This Row],[Price]]</f>
        <v>270</v>
      </c>
      <c r="K44">
        <f>CompanySales[[#This Row],[Sales]]*0.7</f>
        <v>189</v>
      </c>
      <c r="L44">
        <f>CompanySales[[#This Row],[Sales]]-CompanySales[[#This Row],[Cost]]</f>
        <v>81</v>
      </c>
      <c r="P44" s="1"/>
    </row>
    <row r="45" spans="1:16" x14ac:dyDescent="0.3">
      <c r="A45" s="7">
        <v>1044</v>
      </c>
      <c r="B45" s="1">
        <v>45720</v>
      </c>
      <c r="C45" s="1" t="str">
        <f>TEXT(CompanySales[[#This Row],[Date]],"MMM-YYYY")</f>
        <v>Mar-2025</v>
      </c>
      <c r="D45" t="s">
        <v>11</v>
      </c>
      <c r="E45" t="s">
        <v>12</v>
      </c>
      <c r="F45" t="s">
        <v>45</v>
      </c>
      <c r="G45" t="s">
        <v>29</v>
      </c>
      <c r="H45">
        <v>12</v>
      </c>
      <c r="I45">
        <v>150</v>
      </c>
      <c r="J45">
        <f>CompanySales[[#This Row],[Quantity]]*CompanySales[[#This Row],[Price]]</f>
        <v>1800</v>
      </c>
      <c r="K45">
        <f>CompanySales[[#This Row],[Sales]]*0.7</f>
        <v>1260</v>
      </c>
      <c r="L45">
        <f>CompanySales[[#This Row],[Sales]]-CompanySales[[#This Row],[Cost]]</f>
        <v>540</v>
      </c>
      <c r="P45" s="1"/>
    </row>
    <row r="46" spans="1:16" x14ac:dyDescent="0.3">
      <c r="A46" s="7">
        <v>1045</v>
      </c>
      <c r="B46" s="1">
        <v>45721</v>
      </c>
      <c r="C46" s="1" t="str">
        <f>TEXT(CompanySales[[#This Row],[Date]],"MMM-YYYY")</f>
        <v>Mar-2025</v>
      </c>
      <c r="D46" t="s">
        <v>5</v>
      </c>
      <c r="E46" t="s">
        <v>8</v>
      </c>
      <c r="F46" t="s">
        <v>46</v>
      </c>
      <c r="G46" t="s">
        <v>27</v>
      </c>
      <c r="H46">
        <v>12</v>
      </c>
      <c r="I46">
        <v>20</v>
      </c>
      <c r="J46">
        <f>CompanySales[[#This Row],[Quantity]]*CompanySales[[#This Row],[Price]]</f>
        <v>240</v>
      </c>
      <c r="K46">
        <f>CompanySales[[#This Row],[Sales]]*0.7</f>
        <v>168</v>
      </c>
      <c r="L46">
        <f>CompanySales[[#This Row],[Sales]]-CompanySales[[#This Row],[Cost]]</f>
        <v>72</v>
      </c>
      <c r="P46" s="1"/>
    </row>
    <row r="47" spans="1:16" x14ac:dyDescent="0.3">
      <c r="A47" s="7">
        <v>1046</v>
      </c>
      <c r="B47" s="1">
        <v>45722</v>
      </c>
      <c r="C47" s="1" t="str">
        <f>TEXT(CompanySales[[#This Row],[Date]],"MMM-YYYY")</f>
        <v>Mar-2025</v>
      </c>
      <c r="D47" t="s">
        <v>9</v>
      </c>
      <c r="E47" t="s">
        <v>6</v>
      </c>
      <c r="F47" t="s">
        <v>47</v>
      </c>
      <c r="G47" t="s">
        <v>32</v>
      </c>
      <c r="H47">
        <v>3</v>
      </c>
      <c r="I47">
        <v>900</v>
      </c>
      <c r="J47">
        <f>CompanySales[[#This Row],[Quantity]]*CompanySales[[#This Row],[Price]]</f>
        <v>2700</v>
      </c>
      <c r="K47">
        <f>CompanySales[[#This Row],[Sales]]*0.7</f>
        <v>1889.9999999999998</v>
      </c>
      <c r="L47">
        <f>CompanySales[[#This Row],[Sales]]-CompanySales[[#This Row],[Cost]]</f>
        <v>810.00000000000023</v>
      </c>
      <c r="P47" s="1"/>
    </row>
    <row r="48" spans="1:16" x14ac:dyDescent="0.3">
      <c r="A48" s="7">
        <v>1047</v>
      </c>
      <c r="B48" s="1">
        <v>45723</v>
      </c>
      <c r="C48" s="1" t="str">
        <f>TEXT(CompanySales[[#This Row],[Date]],"MMM-YYYY")</f>
        <v>Mar-2025</v>
      </c>
      <c r="D48" t="s">
        <v>7</v>
      </c>
      <c r="E48" t="s">
        <v>12</v>
      </c>
      <c r="F48" t="s">
        <v>26</v>
      </c>
      <c r="G48" t="s">
        <v>27</v>
      </c>
      <c r="H48">
        <v>1</v>
      </c>
      <c r="I48">
        <v>150</v>
      </c>
      <c r="J48">
        <f>CompanySales[[#This Row],[Quantity]]*CompanySales[[#This Row],[Price]]</f>
        <v>150</v>
      </c>
      <c r="K48">
        <f>CompanySales[[#This Row],[Sales]]*0.7</f>
        <v>105</v>
      </c>
      <c r="L48">
        <f>CompanySales[[#This Row],[Sales]]-CompanySales[[#This Row],[Cost]]</f>
        <v>45</v>
      </c>
      <c r="P48" s="1"/>
    </row>
    <row r="49" spans="1:16" x14ac:dyDescent="0.3">
      <c r="A49" s="7">
        <v>1048</v>
      </c>
      <c r="B49" s="1">
        <v>45724</v>
      </c>
      <c r="C49" s="1" t="str">
        <f>TEXT(CompanySales[[#This Row],[Date]],"MMM-YYYY")</f>
        <v>Mar-2025</v>
      </c>
      <c r="D49" t="s">
        <v>11</v>
      </c>
      <c r="E49" t="s">
        <v>10</v>
      </c>
      <c r="F49" t="s">
        <v>28</v>
      </c>
      <c r="G49" t="s">
        <v>29</v>
      </c>
      <c r="H49">
        <v>7</v>
      </c>
      <c r="I49">
        <v>45</v>
      </c>
      <c r="J49">
        <f>CompanySales[[#This Row],[Quantity]]*CompanySales[[#This Row],[Price]]</f>
        <v>315</v>
      </c>
      <c r="K49">
        <f>CompanySales[[#This Row],[Sales]]*0.7</f>
        <v>220.5</v>
      </c>
      <c r="L49">
        <f>CompanySales[[#This Row],[Sales]]-CompanySales[[#This Row],[Cost]]</f>
        <v>94.5</v>
      </c>
      <c r="P49" s="1"/>
    </row>
    <row r="50" spans="1:16" x14ac:dyDescent="0.3">
      <c r="A50" s="7">
        <v>1049</v>
      </c>
      <c r="B50" s="1">
        <v>45725</v>
      </c>
      <c r="C50" s="1" t="str">
        <f>TEXT(CompanySales[[#This Row],[Date]],"MMM-YYYY")</f>
        <v>Mar-2025</v>
      </c>
      <c r="D50" t="s">
        <v>5</v>
      </c>
      <c r="E50" t="s">
        <v>6</v>
      </c>
      <c r="F50" t="s">
        <v>30</v>
      </c>
      <c r="G50" t="s">
        <v>32</v>
      </c>
      <c r="H50">
        <v>4</v>
      </c>
      <c r="I50">
        <v>900</v>
      </c>
      <c r="J50">
        <f>CompanySales[[#This Row],[Quantity]]*CompanySales[[#This Row],[Price]]</f>
        <v>3600</v>
      </c>
      <c r="K50">
        <f>CompanySales[[#This Row],[Sales]]*0.7</f>
        <v>2520</v>
      </c>
      <c r="L50">
        <f>CompanySales[[#This Row],[Sales]]-CompanySales[[#This Row],[Cost]]</f>
        <v>1080</v>
      </c>
      <c r="P50" s="1"/>
    </row>
    <row r="51" spans="1:16" x14ac:dyDescent="0.3">
      <c r="A51" s="7">
        <v>1050</v>
      </c>
      <c r="B51" s="1">
        <v>45726</v>
      </c>
      <c r="C51" s="1" t="str">
        <f>TEXT(CompanySales[[#This Row],[Date]],"MMM-YYYY")</f>
        <v>Mar-2025</v>
      </c>
      <c r="D51" t="s">
        <v>9</v>
      </c>
      <c r="E51" t="s">
        <v>8</v>
      </c>
      <c r="F51" t="s">
        <v>31</v>
      </c>
      <c r="G51" t="s">
        <v>27</v>
      </c>
      <c r="H51">
        <v>10</v>
      </c>
      <c r="I51">
        <v>20</v>
      </c>
      <c r="J51">
        <f>CompanySales[[#This Row],[Quantity]]*CompanySales[[#This Row],[Price]]</f>
        <v>200</v>
      </c>
      <c r="K51">
        <f>CompanySales[[#This Row],[Sales]]*0.7</f>
        <v>140</v>
      </c>
      <c r="L51">
        <f>CompanySales[[#This Row],[Sales]]-CompanySales[[#This Row],[Cost]]</f>
        <v>60</v>
      </c>
      <c r="P51" s="1"/>
    </row>
    <row r="52" spans="1:16" x14ac:dyDescent="0.3">
      <c r="A52" s="7">
        <v>1051</v>
      </c>
      <c r="B52" s="1">
        <v>45727</v>
      </c>
      <c r="C52" s="1" t="str">
        <f>TEXT(CompanySales[[#This Row],[Date]],"MMM-YYYY")</f>
        <v>Mar-2025</v>
      </c>
      <c r="D52" t="s">
        <v>7</v>
      </c>
      <c r="E52" t="s">
        <v>10</v>
      </c>
      <c r="F52" t="s">
        <v>33</v>
      </c>
      <c r="G52" t="s">
        <v>27</v>
      </c>
      <c r="H52">
        <v>12</v>
      </c>
      <c r="I52">
        <v>45</v>
      </c>
      <c r="J52">
        <f>CompanySales[[#This Row],[Quantity]]*CompanySales[[#This Row],[Price]]</f>
        <v>540</v>
      </c>
      <c r="K52">
        <f>CompanySales[[#This Row],[Sales]]*0.7</f>
        <v>378</v>
      </c>
      <c r="L52">
        <f>CompanySales[[#This Row],[Sales]]-CompanySales[[#This Row],[Cost]]</f>
        <v>162</v>
      </c>
      <c r="P52" s="1"/>
    </row>
    <row r="53" spans="1:16" x14ac:dyDescent="0.3">
      <c r="A53" s="7">
        <v>1052</v>
      </c>
      <c r="B53" s="1">
        <v>45728</v>
      </c>
      <c r="C53" s="1" t="str">
        <f>TEXT(CompanySales[[#This Row],[Date]],"MMM-YYYY")</f>
        <v>Mar-2025</v>
      </c>
      <c r="D53" t="s">
        <v>11</v>
      </c>
      <c r="E53" t="s">
        <v>12</v>
      </c>
      <c r="F53" t="s">
        <v>34</v>
      </c>
      <c r="G53" t="s">
        <v>32</v>
      </c>
      <c r="H53">
        <v>3</v>
      </c>
      <c r="I53">
        <v>150</v>
      </c>
      <c r="J53">
        <f>CompanySales[[#This Row],[Quantity]]*CompanySales[[#This Row],[Price]]</f>
        <v>450</v>
      </c>
      <c r="K53">
        <f>CompanySales[[#This Row],[Sales]]*0.7</f>
        <v>315</v>
      </c>
      <c r="L53">
        <f>CompanySales[[#This Row],[Sales]]-CompanySales[[#This Row],[Cost]]</f>
        <v>135</v>
      </c>
      <c r="P53" s="1"/>
    </row>
    <row r="54" spans="1:16" x14ac:dyDescent="0.3">
      <c r="A54" s="7">
        <v>1053</v>
      </c>
      <c r="B54" s="1">
        <v>45729</v>
      </c>
      <c r="C54" s="1" t="str">
        <f>TEXT(CompanySales[[#This Row],[Date]],"MMM-YYYY")</f>
        <v>Mar-2025</v>
      </c>
      <c r="D54" t="s">
        <v>5</v>
      </c>
      <c r="E54" t="s">
        <v>8</v>
      </c>
      <c r="F54" t="s">
        <v>20</v>
      </c>
      <c r="G54" t="s">
        <v>29</v>
      </c>
      <c r="H54">
        <v>9</v>
      </c>
      <c r="I54">
        <v>20</v>
      </c>
      <c r="J54">
        <f>CompanySales[[#This Row],[Quantity]]*CompanySales[[#This Row],[Price]]</f>
        <v>180</v>
      </c>
      <c r="K54">
        <f>CompanySales[[#This Row],[Sales]]*0.7</f>
        <v>125.99999999999999</v>
      </c>
      <c r="L54">
        <f>CompanySales[[#This Row],[Sales]]-CompanySales[[#This Row],[Cost]]</f>
        <v>54.000000000000014</v>
      </c>
      <c r="P54" s="1"/>
    </row>
    <row r="55" spans="1:16" x14ac:dyDescent="0.3">
      <c r="A55" s="7">
        <v>1054</v>
      </c>
      <c r="B55" s="1">
        <v>45730</v>
      </c>
      <c r="C55" s="1" t="str">
        <f>TEXT(CompanySales[[#This Row],[Date]],"MMM-YYYY")</f>
        <v>Mar-2025</v>
      </c>
      <c r="D55" t="s">
        <v>9</v>
      </c>
      <c r="E55" t="s">
        <v>6</v>
      </c>
      <c r="F55" t="s">
        <v>35</v>
      </c>
      <c r="G55" t="s">
        <v>27</v>
      </c>
      <c r="H55">
        <v>2</v>
      </c>
      <c r="I55">
        <v>900</v>
      </c>
      <c r="J55">
        <f>CompanySales[[#This Row],[Quantity]]*CompanySales[[#This Row],[Price]]</f>
        <v>1800</v>
      </c>
      <c r="K55">
        <f>CompanySales[[#This Row],[Sales]]*0.7</f>
        <v>1260</v>
      </c>
      <c r="L55">
        <f>CompanySales[[#This Row],[Sales]]-CompanySales[[#This Row],[Cost]]</f>
        <v>540</v>
      </c>
      <c r="P55" s="1"/>
    </row>
    <row r="56" spans="1:16" x14ac:dyDescent="0.3">
      <c r="A56" s="7">
        <v>1055</v>
      </c>
      <c r="B56" s="1">
        <v>45731</v>
      </c>
      <c r="C56" s="1" t="str">
        <f>TEXT(CompanySales[[#This Row],[Date]],"MMM-YYYY")</f>
        <v>Mar-2025</v>
      </c>
      <c r="D56" t="s">
        <v>7</v>
      </c>
      <c r="E56" t="s">
        <v>10</v>
      </c>
      <c r="F56" t="s">
        <v>36</v>
      </c>
      <c r="G56" t="s">
        <v>32</v>
      </c>
      <c r="H56">
        <v>18</v>
      </c>
      <c r="I56">
        <v>45</v>
      </c>
      <c r="J56">
        <f>CompanySales[[#This Row],[Quantity]]*CompanySales[[#This Row],[Price]]</f>
        <v>810</v>
      </c>
      <c r="K56">
        <f>CompanySales[[#This Row],[Sales]]*0.7</f>
        <v>567</v>
      </c>
      <c r="L56">
        <f>CompanySales[[#This Row],[Sales]]-CompanySales[[#This Row],[Cost]]</f>
        <v>243</v>
      </c>
      <c r="P56" s="1"/>
    </row>
    <row r="57" spans="1:16" x14ac:dyDescent="0.3">
      <c r="A57" s="7">
        <v>1056</v>
      </c>
      <c r="B57" s="1">
        <v>45732</v>
      </c>
      <c r="C57" s="1" t="str">
        <f>TEXT(CompanySales[[#This Row],[Date]],"MMM-YYYY")</f>
        <v>Mar-2025</v>
      </c>
      <c r="D57" t="s">
        <v>11</v>
      </c>
      <c r="E57" t="s">
        <v>6</v>
      </c>
      <c r="F57" t="s">
        <v>37</v>
      </c>
      <c r="G57" t="s">
        <v>27</v>
      </c>
      <c r="H57">
        <v>1</v>
      </c>
      <c r="I57">
        <v>900</v>
      </c>
      <c r="J57">
        <f>CompanySales[[#This Row],[Quantity]]*CompanySales[[#This Row],[Price]]</f>
        <v>900</v>
      </c>
      <c r="K57">
        <f>CompanySales[[#This Row],[Sales]]*0.7</f>
        <v>630</v>
      </c>
      <c r="L57">
        <f>CompanySales[[#This Row],[Sales]]-CompanySales[[#This Row],[Cost]]</f>
        <v>270</v>
      </c>
      <c r="P57" s="1"/>
    </row>
    <row r="58" spans="1:16" x14ac:dyDescent="0.3">
      <c r="A58" s="7">
        <v>1057</v>
      </c>
      <c r="B58" s="1">
        <v>45733</v>
      </c>
      <c r="C58" s="1" t="str">
        <f>TEXT(CompanySales[[#This Row],[Date]],"MMM-YYYY")</f>
        <v>Mar-2025</v>
      </c>
      <c r="D58" t="s">
        <v>5</v>
      </c>
      <c r="E58" t="s">
        <v>12</v>
      </c>
      <c r="F58" s="3" t="s">
        <v>20</v>
      </c>
      <c r="G58" t="s">
        <v>29</v>
      </c>
      <c r="H58">
        <v>3</v>
      </c>
      <c r="I58">
        <v>150</v>
      </c>
      <c r="J58">
        <f>CompanySales[[#This Row],[Quantity]]*CompanySales[[#This Row],[Price]]</f>
        <v>450</v>
      </c>
      <c r="K58">
        <f>CompanySales[[#This Row],[Sales]]*0.7</f>
        <v>315</v>
      </c>
      <c r="L58">
        <f>CompanySales[[#This Row],[Sales]]-CompanySales[[#This Row],[Cost]]</f>
        <v>135</v>
      </c>
      <c r="P58" s="1"/>
    </row>
    <row r="59" spans="1:16" x14ac:dyDescent="0.3">
      <c r="A59" s="7">
        <v>1058</v>
      </c>
      <c r="B59" s="1">
        <v>45734</v>
      </c>
      <c r="C59" s="1" t="str">
        <f>TEXT(CompanySales[[#This Row],[Date]],"MMM-YYYY")</f>
        <v>Mar-2025</v>
      </c>
      <c r="D59" t="s">
        <v>9</v>
      </c>
      <c r="E59" t="s">
        <v>10</v>
      </c>
      <c r="F59" s="3" t="s">
        <v>21</v>
      </c>
      <c r="G59" t="s">
        <v>32</v>
      </c>
      <c r="H59">
        <v>16</v>
      </c>
      <c r="I59">
        <v>45</v>
      </c>
      <c r="J59">
        <f>CompanySales[[#This Row],[Quantity]]*CompanySales[[#This Row],[Price]]</f>
        <v>720</v>
      </c>
      <c r="K59">
        <f>CompanySales[[#This Row],[Sales]]*0.7</f>
        <v>503.99999999999994</v>
      </c>
      <c r="L59">
        <f>CompanySales[[#This Row],[Sales]]-CompanySales[[#This Row],[Cost]]</f>
        <v>216.00000000000006</v>
      </c>
    </row>
    <row r="60" spans="1:16" x14ac:dyDescent="0.3">
      <c r="A60" s="7">
        <v>1059</v>
      </c>
      <c r="B60" s="1">
        <v>45735</v>
      </c>
      <c r="C60" s="1" t="str">
        <f>TEXT(CompanySales[[#This Row],[Date]],"MMM-YYYY")</f>
        <v>Mar-2025</v>
      </c>
      <c r="D60" t="s">
        <v>7</v>
      </c>
      <c r="E60" t="s">
        <v>8</v>
      </c>
      <c r="F60" s="3" t="s">
        <v>22</v>
      </c>
      <c r="G60" t="s">
        <v>27</v>
      </c>
      <c r="H60">
        <v>27</v>
      </c>
      <c r="I60">
        <v>20</v>
      </c>
      <c r="J60">
        <f>CompanySales[[#This Row],[Quantity]]*CompanySales[[#This Row],[Price]]</f>
        <v>540</v>
      </c>
      <c r="K60">
        <f>CompanySales[[#This Row],[Sales]]*0.7</f>
        <v>378</v>
      </c>
      <c r="L60">
        <f>CompanySales[[#This Row],[Sales]]-CompanySales[[#This Row],[Cost]]</f>
        <v>162</v>
      </c>
    </row>
    <row r="61" spans="1:16" x14ac:dyDescent="0.3">
      <c r="A61" s="7">
        <v>1060</v>
      </c>
      <c r="B61" s="1">
        <v>45736</v>
      </c>
      <c r="C61" s="1" t="str">
        <f>TEXT(CompanySales[[#This Row],[Date]],"MMM-YYYY")</f>
        <v>Mar-2025</v>
      </c>
      <c r="D61" t="s">
        <v>11</v>
      </c>
      <c r="E61" t="s">
        <v>12</v>
      </c>
      <c r="F61" s="3" t="s">
        <v>23</v>
      </c>
      <c r="G61" t="s">
        <v>29</v>
      </c>
      <c r="H61">
        <v>12</v>
      </c>
      <c r="I61">
        <v>150</v>
      </c>
      <c r="J61">
        <f>CompanySales[[#This Row],[Quantity]]*CompanySales[[#This Row],[Price]]</f>
        <v>1800</v>
      </c>
      <c r="K61">
        <f>CompanySales[[#This Row],[Sales]]*0.7</f>
        <v>1260</v>
      </c>
      <c r="L61">
        <f>CompanySales[[#This Row],[Sales]]-CompanySales[[#This Row],[Cost]]</f>
        <v>540</v>
      </c>
    </row>
    <row r="62" spans="1:16" x14ac:dyDescent="0.3">
      <c r="A62" s="7">
        <v>1061</v>
      </c>
      <c r="B62" s="1">
        <v>45736</v>
      </c>
      <c r="C62" s="1" t="str">
        <f>TEXT(CompanySales[[#This Row],[Date]],"MMM-YYYY")</f>
        <v>Mar-2025</v>
      </c>
      <c r="D62" t="s">
        <v>9</v>
      </c>
      <c r="E62" t="s">
        <v>6</v>
      </c>
      <c r="F62" s="3" t="s">
        <v>21</v>
      </c>
      <c r="G62" t="s">
        <v>29</v>
      </c>
      <c r="H62">
        <v>8</v>
      </c>
      <c r="I62">
        <v>700</v>
      </c>
      <c r="J62" s="5">
        <f>CompanySales[[#This Row],[Quantity]]*CompanySales[[#This Row],[Price]]</f>
        <v>5600</v>
      </c>
      <c r="K62" s="5">
        <f>CompanySales[[#This Row],[Sales]]*0.7</f>
        <v>3919.9999999999995</v>
      </c>
      <c r="L62" s="5">
        <f>CompanySales[[#This Row],[Sales]]-CompanySales[[#This Row],[Cost]]</f>
        <v>1680.0000000000005</v>
      </c>
    </row>
    <row r="67" spans="15:19" ht="114.6" customHeight="1" x14ac:dyDescent="0.3">
      <c r="O67" s="9" t="s">
        <v>50</v>
      </c>
      <c r="P67" s="9"/>
      <c r="Q67" s="9"/>
      <c r="R67" s="9"/>
      <c r="S67" s="9"/>
    </row>
  </sheetData>
  <mergeCells count="1">
    <mergeCell ref="O67:S67"/>
  </mergeCells>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KPI_Pivot</vt:lpstr>
      <vt:lpstr>Salesperson_Pivot</vt:lpstr>
      <vt:lpstr>Product_Profit_Pivot</vt:lpstr>
      <vt:lpstr>Trend_Pivot</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Govind Goshwami</dc:creator>
  <cp:lastModifiedBy>Govind Goshwami</cp:lastModifiedBy>
  <dcterms:created xsi:type="dcterms:W3CDTF">2025-12-25T17:35:10Z</dcterms:created>
  <dcterms:modified xsi:type="dcterms:W3CDTF">2025-12-26T05:30:26Z</dcterms:modified>
</cp:coreProperties>
</file>