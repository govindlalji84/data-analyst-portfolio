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vin\OneDrive\Desktop\Data Analyst Learning\EXCEL\"/>
    </mc:Choice>
  </mc:AlternateContent>
  <xr:revisionPtr revIDLastSave="0" documentId="13_ncr:1_{42C5E768-4C80-4E40-8479-BDE4748CFE00}" xr6:coauthVersionLast="47" xr6:coauthVersionMax="47" xr10:uidLastSave="{00000000-0000-0000-0000-000000000000}"/>
  <bookViews>
    <workbookView xWindow="-108" yWindow="-108" windowWidth="23256" windowHeight="12456" activeTab="2" xr2:uid="{557BBB60-E9D0-4E33-AD15-D44E097A3FA8}"/>
  </bookViews>
  <sheets>
    <sheet name="Find All data_XLOOKUP" sheetId="1" r:id="rId1"/>
    <sheet name="Find Grade_XLOOKUP" sheetId="2" r:id="rId2"/>
    <sheet name="INDEX-MATCH" sheetId="4" r:id="rId3"/>
    <sheet name="VLOOKUP_XLOOKUP_INDEX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M3" i="4"/>
  <c r="L3" i="4"/>
  <c r="K3" i="4"/>
  <c r="J3" i="4"/>
  <c r="I4" i="3" a="1"/>
  <c r="I4" i="3" s="1"/>
  <c r="J3" i="3"/>
  <c r="K3" i="3"/>
  <c r="I3" i="3"/>
  <c r="H10" i="3" a="1"/>
  <c r="H10" i="3" s="1"/>
  <c r="H9" i="3" a="1"/>
  <c r="H9" i="3" s="1"/>
  <c r="D7" i="2"/>
  <c r="D6" i="2"/>
  <c r="D5" i="2"/>
  <c r="D4" i="2"/>
  <c r="D3" i="2"/>
  <c r="I8" i="1"/>
  <c r="I7" i="1"/>
  <c r="I6" i="1"/>
  <c r="I5" i="1" a="1"/>
  <c r="I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Govind Goshwami</author>
  </authors>
  <commentList>
    <comment ref="J3" authorId="0" shapeId="0" xr:uid="{E3648029-3686-46AF-BB7A-11EE213646CE}">
      <text>
        <r>
          <rPr>
            <b/>
            <sz val="9"/>
            <color indexed="81"/>
            <rFont val="Tahoma"/>
            <family val="2"/>
          </rPr>
          <t>Govind Goshwami:</t>
        </r>
        <r>
          <rPr>
            <sz val="9"/>
            <color indexed="81"/>
            <rFont val="Tahoma"/>
            <family val="2"/>
          </rPr>
          <t xml:space="preserve">
INDEX and MATCH Function =INDEX($A$1:$F$8,MATCH($I$3,$A:$A,0),MATCH(J2,$1:$1,0))
</t>
        </r>
      </text>
    </comment>
    <comment ref="I5" authorId="0" shapeId="0" xr:uid="{2A16A3C5-8B89-4D6D-A24E-312684ABA75C}">
      <text>
        <r>
          <rPr>
            <b/>
            <sz val="9"/>
            <color indexed="81"/>
            <rFont val="Tahoma"/>
            <family val="2"/>
          </rPr>
          <t>Govind Goshwami: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<sst xmlns="http://schemas.openxmlformats.org/spreadsheetml/2006/main" count="109" uniqueCount="60">
  <si>
    <t>EmpID</t>
  </si>
  <si>
    <t>Name</t>
  </si>
  <si>
    <t>Department</t>
  </si>
  <si>
    <t>Salary</t>
  </si>
  <si>
    <t>Grade</t>
  </si>
  <si>
    <t>Rahul</t>
  </si>
  <si>
    <t>IT</t>
  </si>
  <si>
    <t>D</t>
  </si>
  <si>
    <t>Neha</t>
  </si>
  <si>
    <t>HR</t>
  </si>
  <si>
    <t>C</t>
  </si>
  <si>
    <t>Amit</t>
  </si>
  <si>
    <t>Finance</t>
  </si>
  <si>
    <t>B</t>
  </si>
  <si>
    <t>Kiran</t>
  </si>
  <si>
    <t>A</t>
  </si>
  <si>
    <t>Sita</t>
  </si>
  <si>
    <t>Admin</t>
  </si>
  <si>
    <t>🔍 Employee Lookup</t>
  </si>
  <si>
    <t>Enter Employee Name:</t>
  </si>
  <si>
    <t>Employee ID:</t>
  </si>
  <si>
    <t>Department:</t>
  </si>
  <si>
    <t>Salary:</t>
  </si>
  <si>
    <t>Grade:</t>
  </si>
  <si>
    <t>Table 1 — Employee Salary Data</t>
  </si>
  <si>
    <t>Table 2 — Salary Grade Ranges</t>
  </si>
  <si>
    <t>Min Salary</t>
  </si>
  <si>
    <t>Dept</t>
  </si>
  <si>
    <t>Emp ID</t>
  </si>
  <si>
    <t>Using VLOOKP =&gt;</t>
  </si>
  <si>
    <t>Using XLOOKUP  =&gt;</t>
  </si>
  <si>
    <r>
      <t>Find Salary Using</t>
    </r>
    <r>
      <rPr>
        <sz val="11"/>
        <color rgb="FFFF0000"/>
        <rFont val="Aptos Narrow"/>
        <family val="2"/>
        <scheme val="minor"/>
      </rPr>
      <t xml:space="preserve"> Multiple Condition In XLOOKUP</t>
    </r>
    <r>
      <rPr>
        <sz val="11"/>
        <color theme="1"/>
        <rFont val="Aptos Narrow"/>
        <family val="2"/>
        <scheme val="minor"/>
      </rPr>
      <t xml:space="preserve">  =&gt;</t>
    </r>
  </si>
  <si>
    <r>
      <t>Find Salary Using</t>
    </r>
    <r>
      <rPr>
        <sz val="11"/>
        <color rgb="FFFF0000"/>
        <rFont val="Aptos Narrow"/>
        <family val="2"/>
        <scheme val="minor"/>
      </rPr>
      <t xml:space="preserve"> Multiple Condition In INDEX-MATCH</t>
    </r>
    <r>
      <rPr>
        <sz val="11"/>
        <color theme="1"/>
        <rFont val="Aptos Narrow"/>
        <family val="2"/>
        <scheme val="minor"/>
      </rPr>
      <t xml:space="preserve">  =&gt;</t>
    </r>
  </si>
  <si>
    <t>Emp- ID</t>
  </si>
  <si>
    <t>Emp-Name</t>
  </si>
  <si>
    <t>Designation</t>
  </si>
  <si>
    <t>Basic Salary</t>
  </si>
  <si>
    <t>Attendance</t>
  </si>
  <si>
    <t>ES1001</t>
  </si>
  <si>
    <t>Brijesh</t>
  </si>
  <si>
    <t>Manager</t>
  </si>
  <si>
    <t>30 Days</t>
  </si>
  <si>
    <t>ES1002</t>
  </si>
  <si>
    <t>Mahesh</t>
  </si>
  <si>
    <t>Asst. Manager</t>
  </si>
  <si>
    <t>28 Days</t>
  </si>
  <si>
    <t>ES1003</t>
  </si>
  <si>
    <t>Supervisor</t>
  </si>
  <si>
    <t>26 Days</t>
  </si>
  <si>
    <t>ES1004</t>
  </si>
  <si>
    <t>Jai</t>
  </si>
  <si>
    <t>Staff</t>
  </si>
  <si>
    <t>25 Days</t>
  </si>
  <si>
    <t>ES1005</t>
  </si>
  <si>
    <t>Nishant</t>
  </si>
  <si>
    <t>ES1006</t>
  </si>
  <si>
    <t>Helper</t>
  </si>
  <si>
    <t>ES1011</t>
  </si>
  <si>
    <t>Ritesh</t>
  </si>
  <si>
    <t>Select Emp ID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</si>
</sst>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C00000"/>
      <name val="Aptos Narrow"/>
      <family val="2"/>
      <scheme val="minor"/>
    </font>
    <font>
      <b/>
      <sz val="14"/>
      <color rgb="FF00206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5" fillId="0" borderId="0" xfId="0" applyFont="1"/>
    <xf numFmtId="0" fontId="6" fillId="7" borderId="12" xfId="0" applyFont="1" applyFill="1" applyBorder="1" applyAlignment="1">
      <alignment vertical="top" wrapText="1"/>
    </xf>
    <xf numFmtId="0" fontId="6" fillId="7" borderId="13" xfId="0" applyFont="1" applyFill="1" applyBorder="1" applyAlignment="1">
      <alignment vertical="top" wrapText="1"/>
    </xf>
    <xf numFmtId="0" fontId="7" fillId="0" borderId="14" xfId="0" applyFont="1" applyBorder="1" applyAlignment="1">
      <alignment wrapText="1"/>
    </xf>
    <xf numFmtId="4" fontId="7" fillId="0" borderId="14" xfId="0" applyNumberFormat="1" applyFont="1" applyBorder="1" applyAlignment="1">
      <alignment horizontal="right" wrapText="1"/>
    </xf>
    <xf numFmtId="0" fontId="7" fillId="0" borderId="14" xfId="0" applyFont="1" applyBorder="1" applyAlignment="1">
      <alignment horizontal="right" wrapText="1"/>
    </xf>
    <xf numFmtId="0" fontId="8" fillId="7" borderId="15" xfId="0" applyFont="1" applyFill="1" applyBorder="1" applyAlignment="1">
      <alignment vertical="top" wrapText="1"/>
    </xf>
    <xf numFmtId="0" fontId="8" fillId="7" borderId="16" xfId="0" applyFont="1" applyFill="1" applyBorder="1" applyAlignment="1">
      <alignment vertical="top" wrapText="1"/>
    </xf>
    <xf numFmtId="0" fontId="7" fillId="0" borderId="17" xfId="0" applyFont="1" applyBorder="1" applyAlignment="1">
      <alignment wrapText="1"/>
    </xf>
    <xf numFmtId="4" fontId="7" fillId="0" borderId="17" xfId="0" applyNumberFormat="1" applyFont="1" applyBorder="1" applyAlignment="1">
      <alignment horizontal="right" wrapText="1"/>
    </xf>
    <xf numFmtId="0" fontId="7" fillId="0" borderId="17" xfId="0" applyFont="1" applyBorder="1" applyAlignment="1">
      <alignment horizontal="right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8" borderId="0" xfId="0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/>
    <xf numFmtId="0" fontId="14" fillId="5" borderId="14" xfId="0" applyFont="1" applyFill="1" applyBorder="1" applyAlignment="1">
      <alignment wrapText="1"/>
    </xf>
    <xf numFmtId="0" fontId="14" fillId="0" borderId="14" xfId="0" applyFont="1" applyBorder="1" applyAlignment="1">
      <alignment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0624E-0AF3-4D2F-A00C-222D60AD38E6}" name="Table2" displayName="Table2" ref="A2:C7" totalsRowShown="0" headerRowDxfId="26" dataDxfId="25" headerRowBorderDxfId="23" tableBorderDxfId="24">
  <autoFilter ref="A2:C7" xr:uid="{AC80624E-0AF3-4D2F-A00C-222D60AD38E6}"/>
  <tableColumns count="3">
    <tableColumn id="1" xr3:uid="{BC710CDB-96E6-4A70-9F84-754A5D20D49D}" name="EmpID" dataDxfId="22"/>
    <tableColumn id="2" xr3:uid="{AD0D10AE-963F-470E-9301-A826B2A41333}" name="Name" dataDxfId="21"/>
    <tableColumn id="3" xr3:uid="{72C6C608-21CC-492E-AED3-E30F65D96F75}" name="Salary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F859F-2469-4D0A-9C5F-CBC7D458F6B2}" name="Table3" displayName="Table3" ref="F2:G6" totalsRowShown="0" headerRowDxfId="20" dataDxfId="19">
  <autoFilter ref="F2:G6" xr:uid="{692F859F-2469-4D0A-9C5F-CBC7D458F6B2}"/>
  <tableColumns count="2">
    <tableColumn id="1" xr3:uid="{4135DBFC-BD78-428C-84F2-558662908538}" name="Min Salary" dataDxfId="18"/>
    <tableColumn id="2" xr3:uid="{C05767ED-C138-4900-9E13-71B1479E79F1}" name="Grad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A9D7F7-B058-44A1-99F6-6BA16D47CA2B}" name="Table8" displayName="Table8" ref="A1:F8" totalsRowShown="0" headerRowDxfId="9" headerRowBorderDxfId="7" tableBorderDxfId="8" totalsRowBorderDxfId="6">
  <autoFilter ref="A1:F8" xr:uid="{2BA9D7F7-B058-44A1-99F6-6BA16D47CA2B}"/>
  <tableColumns count="6">
    <tableColumn id="1" xr3:uid="{15101475-5803-43FD-9FF7-8690045F8FD1}" name="Emp- ID" dataDxfId="5"/>
    <tableColumn id="2" xr3:uid="{E993AAA7-335E-475C-8AE6-47A3A222F7E5}" name="Emp-Name" dataDxfId="4"/>
    <tableColumn id="3" xr3:uid="{B7C37702-F194-4D60-B62B-75D53E10A660}" name="Designation" dataDxfId="3"/>
    <tableColumn id="4" xr3:uid="{A2BA85F1-42FD-42DD-B182-045FC45A00A7}" name="Basic Salary" dataDxfId="2"/>
    <tableColumn id="5" xr3:uid="{5F9F6938-EAD7-4B2C-B321-3AFCCA3F28EE}" name="Attendance" dataDxfId="1"/>
    <tableColumn id="6" xr3:uid="{CE90D634-58C7-4357-95A7-3204C865C349}" name="Salary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FF1348-2880-45F8-B0A0-EFD62EB7A989}" name="Table7" displayName="Table7" ref="A2:D6" totalsRowShown="0" headerRowDxfId="15" dataDxfId="14">
  <autoFilter ref="A2:D6" xr:uid="{7BFF1348-2880-45F8-B0A0-EFD62EB7A989}"/>
  <tableColumns count="4">
    <tableColumn id="1" xr3:uid="{4C696643-F8AD-4355-AE3F-ED1A8F8AF8A1}" name="EmpID" dataDxfId="13"/>
    <tableColumn id="2" xr3:uid="{F3BCFA52-5212-456E-B59E-E69F9ECDB999}" name="Name" dataDxfId="12"/>
    <tableColumn id="3" xr3:uid="{AC20EB55-AB69-4448-B3D2-1618F422BE44}" name="Dept" dataDxfId="11"/>
    <tableColumn id="4" xr3:uid="{D7F0294B-30A6-4FB9-B5B1-C89E36D1CC82}" name="Salary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C17C-0A44-408F-80CD-D2EC973259D7}">
  <dimension ref="A1:M10"/>
  <sheetViews>
    <sheetView workbookViewId="0">
      <selection activeCell="I4" sqref="I4"/>
    </sheetView>
  </sheetViews>
  <sheetFormatPr defaultRowHeight="14.4" x14ac:dyDescent="0.3"/>
  <cols>
    <col min="2" max="2" width="13.44140625" customWidth="1"/>
    <col min="3" max="3" width="12.88671875" customWidth="1"/>
    <col min="4" max="4" width="10.33203125" customWidth="1"/>
    <col min="8" max="8" width="21.44140625" customWidth="1"/>
    <col min="9" max="9" width="18.6640625" customWidth="1"/>
  </cols>
  <sheetData>
    <row r="1" spans="1:13" ht="33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13" ht="21" customHeight="1" x14ac:dyDescent="0.3">
      <c r="A2" s="6">
        <v>101</v>
      </c>
      <c r="B2" s="7" t="s">
        <v>5</v>
      </c>
      <c r="C2" s="7" t="s">
        <v>6</v>
      </c>
      <c r="D2" s="7">
        <v>48000</v>
      </c>
      <c r="E2" s="8" t="s">
        <v>7</v>
      </c>
      <c r="H2" s="1" t="s">
        <v>15</v>
      </c>
      <c r="I2" s="1" t="s">
        <v>13</v>
      </c>
    </row>
    <row r="3" spans="1:13" ht="21" customHeight="1" x14ac:dyDescent="0.3">
      <c r="A3" s="9">
        <v>102</v>
      </c>
      <c r="B3" s="10" t="s">
        <v>8</v>
      </c>
      <c r="C3" s="10" t="s">
        <v>9</v>
      </c>
      <c r="D3" s="10">
        <v>52000</v>
      </c>
      <c r="E3" s="11" t="s">
        <v>10</v>
      </c>
      <c r="H3" s="41" t="s">
        <v>18</v>
      </c>
      <c r="I3" s="41"/>
    </row>
    <row r="4" spans="1:13" ht="21" customHeight="1" x14ac:dyDescent="0.3">
      <c r="A4" s="6">
        <v>103</v>
      </c>
      <c r="B4" s="7" t="s">
        <v>11</v>
      </c>
      <c r="C4" s="7" t="s">
        <v>12</v>
      </c>
      <c r="D4" s="7">
        <v>65000</v>
      </c>
      <c r="E4" s="8" t="s">
        <v>13</v>
      </c>
      <c r="H4" s="42" t="s">
        <v>19</v>
      </c>
      <c r="I4" s="39" t="s">
        <v>8</v>
      </c>
    </row>
    <row r="5" spans="1:13" ht="21" customHeight="1" x14ac:dyDescent="0.3">
      <c r="A5" s="9">
        <v>104</v>
      </c>
      <c r="B5" s="10" t="s">
        <v>14</v>
      </c>
      <c r="C5" s="10" t="s">
        <v>6</v>
      </c>
      <c r="D5" s="10">
        <v>72000</v>
      </c>
      <c r="E5" s="11" t="s">
        <v>15</v>
      </c>
      <c r="H5" s="40" t="s">
        <v>20</v>
      </c>
      <c r="I5" s="15" cm="1">
        <f t="array" ref="I5:M5">_xlfn.XLOOKUP($I$4,$B$1:$B$6,A1:E6,"Not Found")</f>
        <v>102</v>
      </c>
      <c r="J5" t="str">
        <v>Neha</v>
      </c>
      <c r="K5" t="str">
        <v>HR</v>
      </c>
      <c r="L5">
        <v>52000</v>
      </c>
      <c r="M5" t="str">
        <v>C</v>
      </c>
    </row>
    <row r="6" spans="1:13" ht="21" customHeight="1" x14ac:dyDescent="0.3">
      <c r="A6" s="12">
        <v>105</v>
      </c>
      <c r="B6" s="13" t="s">
        <v>16</v>
      </c>
      <c r="C6" s="13" t="s">
        <v>17</v>
      </c>
      <c r="D6" s="13">
        <v>59000</v>
      </c>
      <c r="E6" s="14" t="s">
        <v>10</v>
      </c>
      <c r="H6" s="40" t="s">
        <v>21</v>
      </c>
      <c r="I6" s="15" t="str">
        <f>_xlfn.XLOOKUP($I$4,$B$1:$B$6,C1:C6,"Not Found")</f>
        <v>HR</v>
      </c>
    </row>
    <row r="7" spans="1:13" ht="21" customHeight="1" x14ac:dyDescent="0.3">
      <c r="H7" s="40" t="s">
        <v>22</v>
      </c>
      <c r="I7" s="15">
        <f>_xlfn.XLOOKUP($I$4,$B$1:$B$6,D1:D6,"Not Found")</f>
        <v>52000</v>
      </c>
    </row>
    <row r="8" spans="1:13" ht="21" customHeight="1" x14ac:dyDescent="0.3">
      <c r="H8" s="40" t="s">
        <v>23</v>
      </c>
      <c r="I8" s="15" t="str">
        <f>_xlfn.XLOOKUP($I$4,$B$1:$B$6,E1:E6,"Not Found")</f>
        <v>C</v>
      </c>
    </row>
    <row r="9" spans="1:13" ht="21" customHeight="1" x14ac:dyDescent="0.3"/>
    <row r="10" spans="1:13" ht="21" customHeight="1" x14ac:dyDescent="0.3"/>
  </sheetData>
  <dataValidations count="1">
    <dataValidation type="list" allowBlank="1" showInputMessage="1" showErrorMessage="1" sqref="I4" xr:uid="{B11F1433-5573-4260-A232-D22256300C2B}">
      <formula1>$B$2:$B$6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6604-B4DD-42F1-B686-6EB5CD6C1D4C}">
  <dimension ref="A1:G7"/>
  <sheetViews>
    <sheetView workbookViewId="0">
      <selection activeCell="F28" sqref="F28"/>
    </sheetView>
  </sheetViews>
  <sheetFormatPr defaultRowHeight="14.4" x14ac:dyDescent="0.3"/>
  <cols>
    <col min="2" max="2" width="14.6640625" customWidth="1"/>
    <col min="3" max="3" width="12.88671875" customWidth="1"/>
    <col min="6" max="6" width="16.33203125" customWidth="1"/>
    <col min="7" max="7" width="15.21875" customWidth="1"/>
  </cols>
  <sheetData>
    <row r="1" spans="1:7" x14ac:dyDescent="0.3">
      <c r="A1" s="16" t="s">
        <v>24</v>
      </c>
      <c r="B1" s="17"/>
      <c r="C1" s="18"/>
      <c r="F1" s="19" t="s">
        <v>25</v>
      </c>
      <c r="G1" s="19"/>
    </row>
    <row r="2" spans="1:7" x14ac:dyDescent="0.3">
      <c r="A2" s="20" t="s">
        <v>0</v>
      </c>
      <c r="B2" s="20" t="s">
        <v>1</v>
      </c>
      <c r="C2" s="20" t="s">
        <v>3</v>
      </c>
      <c r="D2" s="21" t="s">
        <v>4</v>
      </c>
      <c r="F2" s="1" t="s">
        <v>26</v>
      </c>
      <c r="G2" s="1" t="s">
        <v>4</v>
      </c>
    </row>
    <row r="3" spans="1:7" x14ac:dyDescent="0.3">
      <c r="A3" s="2">
        <v>101</v>
      </c>
      <c r="B3" s="2" t="s">
        <v>5</v>
      </c>
      <c r="C3" s="2">
        <v>48000</v>
      </c>
      <c r="D3" s="22" t="str">
        <f>_xlfn.XLOOKUP(C3, $F$2:$F$6, $G$2:$G$6, , -1)</f>
        <v>D</v>
      </c>
      <c r="F3" s="2">
        <v>0</v>
      </c>
      <c r="G3" s="2" t="s">
        <v>7</v>
      </c>
    </row>
    <row r="4" spans="1:7" x14ac:dyDescent="0.3">
      <c r="A4" s="2">
        <v>102</v>
      </c>
      <c r="B4" s="2" t="s">
        <v>8</v>
      </c>
      <c r="C4" s="2">
        <v>52000</v>
      </c>
      <c r="D4" s="22" t="str">
        <f t="shared" ref="D4:D7" si="0">_xlfn.XLOOKUP(C4, $F$2:$F$6, $G$2:$G$6, , -1)</f>
        <v>C</v>
      </c>
      <c r="F4" s="2">
        <v>50000</v>
      </c>
      <c r="G4" s="2" t="s">
        <v>10</v>
      </c>
    </row>
    <row r="5" spans="1:7" x14ac:dyDescent="0.3">
      <c r="A5" s="2">
        <v>103</v>
      </c>
      <c r="B5" s="2" t="s">
        <v>11</v>
      </c>
      <c r="C5" s="2">
        <v>65000</v>
      </c>
      <c r="D5" s="22" t="str">
        <f t="shared" si="0"/>
        <v>B</v>
      </c>
      <c r="F5" s="2">
        <v>60000</v>
      </c>
      <c r="G5" s="2" t="s">
        <v>13</v>
      </c>
    </row>
    <row r="6" spans="1:7" x14ac:dyDescent="0.3">
      <c r="A6" s="2">
        <v>104</v>
      </c>
      <c r="B6" s="2" t="s">
        <v>14</v>
      </c>
      <c r="C6" s="2">
        <v>72000</v>
      </c>
      <c r="D6" s="22" t="str">
        <f t="shared" si="0"/>
        <v>A</v>
      </c>
      <c r="F6" s="2">
        <v>70000</v>
      </c>
      <c r="G6" s="2" t="s">
        <v>15</v>
      </c>
    </row>
    <row r="7" spans="1:7" x14ac:dyDescent="0.3">
      <c r="A7" s="2">
        <v>105</v>
      </c>
      <c r="B7" s="2" t="s">
        <v>16</v>
      </c>
      <c r="C7" s="2">
        <v>59000</v>
      </c>
      <c r="D7" s="22" t="str">
        <f t="shared" si="0"/>
        <v>C</v>
      </c>
    </row>
  </sheetData>
  <mergeCells count="2">
    <mergeCell ref="A1:C1"/>
    <mergeCell ref="F1:G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9BE6-6F54-4C78-8FBC-1AA5E699BC31}">
  <dimension ref="A1:N8"/>
  <sheetViews>
    <sheetView tabSelected="1" workbookViewId="0">
      <selection activeCell="I5" sqref="I5"/>
    </sheetView>
  </sheetViews>
  <sheetFormatPr defaultRowHeight="14.4" x14ac:dyDescent="0.3"/>
  <cols>
    <col min="1" max="1" width="10" customWidth="1"/>
    <col min="2" max="2" width="17.77734375" customWidth="1"/>
    <col min="3" max="3" width="20.5546875" customWidth="1"/>
    <col min="4" max="4" width="15.77734375" bestFit="1" customWidth="1"/>
    <col min="5" max="5" width="15.33203125" customWidth="1"/>
    <col min="6" max="6" width="12.44140625" customWidth="1"/>
    <col min="8" max="8" width="19.6640625" customWidth="1"/>
    <col min="9" max="9" width="11" customWidth="1"/>
    <col min="10" max="10" width="16.77734375" customWidth="1"/>
    <col min="11" max="11" width="14.77734375" customWidth="1"/>
    <col min="12" max="12" width="12.21875" customWidth="1"/>
    <col min="13" max="13" width="11.6640625" customWidth="1"/>
    <col min="14" max="14" width="11.5546875" customWidth="1"/>
  </cols>
  <sheetData>
    <row r="1" spans="1:14" ht="36.6" thickBot="1" x14ac:dyDescent="0.35">
      <c r="A1" s="29" t="s">
        <v>33</v>
      </c>
      <c r="B1" s="30" t="s">
        <v>34</v>
      </c>
      <c r="C1" s="30" t="s">
        <v>35</v>
      </c>
      <c r="D1" s="30" t="s">
        <v>36</v>
      </c>
      <c r="E1" s="30" t="s">
        <v>37</v>
      </c>
      <c r="F1" s="30" t="s">
        <v>3</v>
      </c>
    </row>
    <row r="2" spans="1:14" ht="21.6" customHeight="1" thickBot="1" x14ac:dyDescent="0.35">
      <c r="A2" s="31" t="s">
        <v>38</v>
      </c>
      <c r="B2" s="31" t="s">
        <v>39</v>
      </c>
      <c r="C2" s="31" t="s">
        <v>40</v>
      </c>
      <c r="D2" s="32">
        <v>45000</v>
      </c>
      <c r="E2" s="33" t="s">
        <v>41</v>
      </c>
      <c r="F2" s="32">
        <v>45000</v>
      </c>
      <c r="I2" s="34" t="s">
        <v>33</v>
      </c>
      <c r="J2" s="35" t="s">
        <v>34</v>
      </c>
      <c r="K2" s="35" t="s">
        <v>35</v>
      </c>
      <c r="L2" s="35" t="s">
        <v>36</v>
      </c>
      <c r="M2" s="35" t="s">
        <v>37</v>
      </c>
      <c r="N2" s="35" t="s">
        <v>3</v>
      </c>
    </row>
    <row r="3" spans="1:14" ht="21.6" customHeight="1" thickBot="1" x14ac:dyDescent="0.4">
      <c r="A3" s="31" t="s">
        <v>42</v>
      </c>
      <c r="B3" s="31" t="s">
        <v>43</v>
      </c>
      <c r="C3" s="31" t="s">
        <v>44</v>
      </c>
      <c r="D3" s="32">
        <v>35000</v>
      </c>
      <c r="E3" s="33" t="s">
        <v>45</v>
      </c>
      <c r="F3" s="32">
        <v>32666.67</v>
      </c>
      <c r="H3" s="43" t="s">
        <v>59</v>
      </c>
      <c r="I3" s="44" t="s">
        <v>46</v>
      </c>
      <c r="J3" s="45" t="str">
        <f>INDEX($A$1:$F$8,MATCH($I$3,$A:$A,0),MATCH(J2,$1:$1,0))</f>
        <v>Brijesh</v>
      </c>
      <c r="K3" s="45" t="str">
        <f>INDEX($A$1:$F$8,MATCH($I$3,$A:$A,0),MATCH(K2,$1:$1,0))</f>
        <v>Supervisor</v>
      </c>
      <c r="L3" s="45">
        <f>INDEX($A$1:$F$8,MATCH($I$3,$A:$A,0),MATCH(L2,$1:$1,0))</f>
        <v>25000</v>
      </c>
      <c r="M3" s="45" t="str">
        <f>INDEX($A$1:$F$8,MATCH($I$3,$A:$A,0),MATCH(M2,$1:$1,0))</f>
        <v>26 Days</v>
      </c>
      <c r="N3" s="45">
        <f>INDEX($A$1:$F$8,MATCH($I$3,$A:$A,0),MATCH(N2,$1:$1,0))</f>
        <v>21666.67</v>
      </c>
    </row>
    <row r="4" spans="1:14" ht="21.6" customHeight="1" thickBot="1" x14ac:dyDescent="0.35">
      <c r="A4" s="31" t="s">
        <v>46</v>
      </c>
      <c r="B4" s="31" t="s">
        <v>39</v>
      </c>
      <c r="C4" s="31" t="s">
        <v>47</v>
      </c>
      <c r="D4" s="32">
        <v>25000</v>
      </c>
      <c r="E4" s="33" t="s">
        <v>48</v>
      </c>
      <c r="F4" s="32">
        <v>21666.67</v>
      </c>
    </row>
    <row r="5" spans="1:14" ht="21.6" customHeight="1" thickBot="1" x14ac:dyDescent="0.35">
      <c r="A5" s="31" t="s">
        <v>49</v>
      </c>
      <c r="B5" s="31" t="s">
        <v>50</v>
      </c>
      <c r="C5" s="31" t="s">
        <v>51</v>
      </c>
      <c r="D5" s="32">
        <v>18172</v>
      </c>
      <c r="E5" s="33" t="s">
        <v>52</v>
      </c>
      <c r="F5" s="32">
        <v>15143.33</v>
      </c>
    </row>
    <row r="6" spans="1:14" ht="21.6" customHeight="1" thickBot="1" x14ac:dyDescent="0.35">
      <c r="A6" s="31" t="s">
        <v>53</v>
      </c>
      <c r="B6" s="31" t="s">
        <v>54</v>
      </c>
      <c r="C6" s="31" t="s">
        <v>51</v>
      </c>
      <c r="D6" s="32">
        <v>18172</v>
      </c>
      <c r="E6" s="33" t="s">
        <v>52</v>
      </c>
      <c r="F6" s="32">
        <v>15143.33</v>
      </c>
    </row>
    <row r="7" spans="1:14" ht="21.6" customHeight="1" thickBot="1" x14ac:dyDescent="0.35">
      <c r="A7" s="31" t="s">
        <v>55</v>
      </c>
      <c r="B7" s="31" t="s">
        <v>39</v>
      </c>
      <c r="C7" s="31" t="s">
        <v>56</v>
      </c>
      <c r="D7" s="32">
        <v>18813</v>
      </c>
      <c r="E7" s="33" t="s">
        <v>45</v>
      </c>
      <c r="F7" s="32">
        <v>17558.8</v>
      </c>
    </row>
    <row r="8" spans="1:14" ht="21.6" customHeight="1" x14ac:dyDescent="0.3">
      <c r="A8" s="36" t="s">
        <v>57</v>
      </c>
      <c r="B8" s="36" t="s">
        <v>58</v>
      </c>
      <c r="C8" s="36" t="s">
        <v>51</v>
      </c>
      <c r="D8" s="37">
        <v>17041</v>
      </c>
      <c r="E8" s="38" t="s">
        <v>41</v>
      </c>
      <c r="F8" s="37">
        <v>17041</v>
      </c>
    </row>
  </sheetData>
  <dataValidations count="1">
    <dataValidation type="list" allowBlank="1" showInputMessage="1" showErrorMessage="1" sqref="I3" xr:uid="{480CB78F-49D2-46A7-BB26-16818E41ACCA}">
      <formula1>$A$2:$A$8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D9D6-6E26-47EB-8D64-7F620F6A366C}">
  <dimension ref="A2:K10"/>
  <sheetViews>
    <sheetView workbookViewId="0">
      <selection activeCell="G7" sqref="G7"/>
    </sheetView>
  </sheetViews>
  <sheetFormatPr defaultRowHeight="14.4" x14ac:dyDescent="0.3"/>
  <cols>
    <col min="2" max="2" width="13.77734375" customWidth="1"/>
    <col min="3" max="3" width="10.5546875" customWidth="1"/>
    <col min="4" max="4" width="11.6640625" customWidth="1"/>
    <col min="7" max="7" width="26.5546875" customWidth="1"/>
    <col min="8" max="8" width="9.6640625" customWidth="1"/>
    <col min="9" max="9" width="13" customWidth="1"/>
    <col min="10" max="10" width="12.5546875" customWidth="1"/>
    <col min="11" max="11" width="14.88671875" customWidth="1"/>
  </cols>
  <sheetData>
    <row r="2" spans="1:11" x14ac:dyDescent="0.3">
      <c r="A2" s="1" t="s">
        <v>0</v>
      </c>
      <c r="B2" s="1" t="s">
        <v>1</v>
      </c>
      <c r="C2" s="1" t="s">
        <v>27</v>
      </c>
      <c r="D2" s="1" t="s">
        <v>3</v>
      </c>
      <c r="H2" s="23" t="s">
        <v>28</v>
      </c>
      <c r="I2" s="23" t="s">
        <v>1</v>
      </c>
      <c r="J2" s="23" t="s">
        <v>27</v>
      </c>
      <c r="K2" s="23" t="s">
        <v>3</v>
      </c>
    </row>
    <row r="3" spans="1:11" ht="15.6" x14ac:dyDescent="0.3">
      <c r="A3" s="2">
        <v>101</v>
      </c>
      <c r="B3" s="2" t="s">
        <v>5</v>
      </c>
      <c r="C3" s="2" t="s">
        <v>6</v>
      </c>
      <c r="D3" s="2">
        <v>60000</v>
      </c>
      <c r="G3" s="24" t="s">
        <v>29</v>
      </c>
      <c r="H3" s="25">
        <v>104</v>
      </c>
      <c r="I3" s="25" t="str">
        <f>IFERROR(VLOOKUP($H$3,$A$2:$D$6,COLUMNS($A$2:B6),0),"Data not Found")</f>
        <v>Neha</v>
      </c>
      <c r="J3" s="25" t="str">
        <f>IFERROR(VLOOKUP($H$3,$A$2:$D$6,COLUMNS($A$2:C6),0),"Data not Found")</f>
        <v>Finance</v>
      </c>
      <c r="K3" s="25">
        <f>IFERROR(VLOOKUP($H$3,$A$2:$D$6,COLUMNS($A$2:D6),0),"Data not Found")</f>
        <v>58000</v>
      </c>
    </row>
    <row r="4" spans="1:11" ht="15.6" x14ac:dyDescent="0.3">
      <c r="A4" s="2">
        <v>102</v>
      </c>
      <c r="B4" s="2" t="s">
        <v>8</v>
      </c>
      <c r="C4" s="2" t="s">
        <v>9</v>
      </c>
      <c r="D4" s="2">
        <v>55000</v>
      </c>
      <c r="G4" s="24" t="s">
        <v>30</v>
      </c>
      <c r="H4" s="26">
        <v>101</v>
      </c>
      <c r="I4" s="26" t="str" cm="1">
        <f t="array" ref="I4:K4">_xlfn.XLOOKUP(H4,A3:A6,B3:D6,"Data Not Found")</f>
        <v>Rahul</v>
      </c>
      <c r="J4" s="26" t="str">
        <v>IT</v>
      </c>
      <c r="K4" s="26">
        <v>60000</v>
      </c>
    </row>
    <row r="5" spans="1:11" x14ac:dyDescent="0.3">
      <c r="A5" s="2">
        <v>103</v>
      </c>
      <c r="B5" s="2" t="s">
        <v>11</v>
      </c>
      <c r="C5" s="2" t="s">
        <v>6</v>
      </c>
      <c r="D5" s="2">
        <v>65000</v>
      </c>
    </row>
    <row r="6" spans="1:11" x14ac:dyDescent="0.3">
      <c r="A6" s="2">
        <v>104</v>
      </c>
      <c r="B6" s="2" t="s">
        <v>8</v>
      </c>
      <c r="C6" s="2" t="s">
        <v>12</v>
      </c>
      <c r="D6" s="2">
        <v>58000</v>
      </c>
    </row>
    <row r="8" spans="1:11" x14ac:dyDescent="0.3">
      <c r="H8" t="s">
        <v>3</v>
      </c>
    </row>
    <row r="9" spans="1:11" ht="31.8" customHeight="1" x14ac:dyDescent="0.4">
      <c r="G9" s="27" t="s">
        <v>31</v>
      </c>
      <c r="H9" s="28" cm="1">
        <f t="array" ref="H9">_xlfn.XLOOKUP("Neha"&amp;"Finance", B3:B6 &amp; C3:C6, D3:D6)</f>
        <v>58000</v>
      </c>
    </row>
    <row r="10" spans="1:11" ht="30" x14ac:dyDescent="0.4">
      <c r="G10" s="27" t="s">
        <v>32</v>
      </c>
      <c r="H10" s="28" cm="1">
        <f t="array" ref="H10">INDEX(D3:D6,MATCH(1,(B3:B6="Amit")*(C3:C6="IT"),0))</f>
        <v>65000</v>
      </c>
    </row>
  </sheetData>
  <dataValidations count="3">
    <dataValidation type="list" allowBlank="1" showInputMessage="1" showErrorMessage="1" sqref="H3" xr:uid="{5E4E3EE2-AEBA-4157-84D8-EB02A8F5C31D}">
      <formula1>$A$3:$A$6</formula1>
    </dataValidation>
    <dataValidation type="list" allowBlank="1" showInputMessage="1" showErrorMessage="1" sqref="H5" xr:uid="{CE041D40-827E-422B-B66C-8982E5C31AD3}">
      <formula1>$B$3:$B$5</formula1>
    </dataValidation>
    <dataValidation type="list" allowBlank="1" showInputMessage="1" showErrorMessage="1" sqref="H4" xr:uid="{D8A045FA-0D5C-4F96-B802-423FE94B374C}">
      <formula1>$A$3:$A$6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 All data_XLOOKUP</vt:lpstr>
      <vt:lpstr>Find Grade_XLOOKUP</vt:lpstr>
      <vt:lpstr>INDEX-MATCH</vt:lpstr>
      <vt:lpstr>VLOOKUP_XLOOKUP_INDEX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Goshwami</dc:creator>
  <cp:lastModifiedBy>Govind Goshwami</cp:lastModifiedBy>
  <dcterms:created xsi:type="dcterms:W3CDTF">2025-12-23T15:56:03Z</dcterms:created>
  <dcterms:modified xsi:type="dcterms:W3CDTF">2025-12-24T19:15:23Z</dcterms:modified>
</cp:coreProperties>
</file>